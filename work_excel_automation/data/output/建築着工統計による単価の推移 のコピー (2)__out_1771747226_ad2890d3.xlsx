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xmlns:r="http://schemas.openxmlformats.org/officeDocument/2006/relationships" name="鉄骨鉄筋コンクリート造" sheetId="1" state="hidden" r:id="rId1"/>
    <sheet xmlns:r="http://schemas.openxmlformats.org/officeDocument/2006/relationships" name="鉄筋コンクリート造" sheetId="2" state="hidden" r:id="rId2"/>
    <sheet xmlns:r="http://schemas.openxmlformats.org/officeDocument/2006/relationships" name="鉄骨造" sheetId="3" state="visible" r:id="rId3"/>
    <sheet xmlns:r="http://schemas.openxmlformats.org/officeDocument/2006/relationships" name="集計" sheetId="4" state="visible" r:id="rId4"/>
    <sheet xmlns:r="http://schemas.openxmlformats.org/officeDocument/2006/relationships" name="グラフ" sheetId="5" state="visible" r:id="rId5"/>
    <sheet xmlns:r="http://schemas.openxmlformats.org/officeDocument/2006/relationships" name="データベース化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##,###,##0;&quot;-&quot;##,###,##0"/>
    <numFmt numFmtId="165" formatCode="#,##0.0_ ;[Red]\-#,##0.0\ "/>
    <numFmt numFmtId="166" formatCode="#,##0.0_ "/>
    <numFmt numFmtId="167" formatCode="_ * #,##0.0_ ;_ * \-#,##0.0_ ;_ * &quot;-&quot;_ ;_ @_ "/>
    <numFmt numFmtId="168" formatCode="#,##0.0;[Red]\-#,##0.0"/>
    <numFmt numFmtId="169" formatCode="0.0"/>
    <numFmt numFmtId="170" formatCode="0.000"/>
  </numFmts>
  <fonts count="13">
    <font>
      <name val="Yu Gothic"/>
      <family val="2"/>
      <color theme="1"/>
      <sz val="11"/>
      <scheme val="minor"/>
    </font>
    <font>
      <name val="ＭＳ Ｐゴシック"/>
      <charset val="128"/>
      <family val="3"/>
      <sz val="6"/>
    </font>
    <font>
      <name val="Yu Gothic"/>
      <family val="2"/>
      <color theme="1"/>
      <sz val="11"/>
      <scheme val="minor"/>
    </font>
    <font>
      <name val="ＭＳ 明朝"/>
      <charset val="128"/>
      <family val="1"/>
      <color theme="1"/>
      <sz val="10"/>
    </font>
    <font>
      <name val="Yu Gothic"/>
      <charset val="128"/>
      <family val="3"/>
      <b val="1"/>
      <color theme="1"/>
      <sz val="12"/>
      <scheme val="minor"/>
    </font>
    <font>
      <name val="Yu Gothic"/>
      <charset val="128"/>
      <family val="3"/>
      <sz val="6"/>
      <scheme val="minor"/>
    </font>
    <font>
      <name val="ＭＳ Ｐゴシック"/>
      <charset val="128"/>
      <family val="3"/>
      <sz val="11"/>
    </font>
    <font>
      <name val="Yu Gothic"/>
      <charset val="128"/>
      <family val="3"/>
      <sz val="11"/>
      <scheme val="minor"/>
    </font>
    <font>
      <name val="Yu Gothic"/>
      <family val="2"/>
      <color rgb="FF0070C0"/>
      <sz val="11"/>
      <scheme val="minor"/>
    </font>
    <font>
      <name val="Yu Gothic"/>
      <charset val="128"/>
      <family val="3"/>
      <color rgb="FF0070C0"/>
      <sz val="11"/>
      <scheme val="minor"/>
    </font>
    <font>
      <name val="Yu Gothic"/>
      <charset val="128"/>
      <family val="3"/>
      <color theme="1"/>
      <sz val="11"/>
      <scheme val="minor"/>
    </font>
    <font>
      <name val="Yu Gothic"/>
      <family val="2"/>
      <sz val="11"/>
      <scheme val="minor"/>
    </font>
    <font>
      <name val="Yu Gothic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2" fillId="0" borderId="0"/>
    <xf numFmtId="38" fontId="2" fillId="0" borderId="0" applyAlignment="1">
      <alignment vertical="center"/>
    </xf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</cellStyleXfs>
  <cellXfs count="54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2" borderId="5" applyAlignment="1" pivotButton="0" quotePrefix="0" xfId="0">
      <alignment vertical="center" wrapText="1"/>
    </xf>
    <xf numFmtId="38" fontId="0" fillId="0" borderId="4" applyAlignment="1" pivotButton="0" quotePrefix="0" xfId="1">
      <alignment vertical="center"/>
    </xf>
    <xf numFmtId="38" fontId="0" fillId="0" borderId="0" applyAlignment="1" pivotButton="0" quotePrefix="0" xfId="1">
      <alignment vertical="center"/>
    </xf>
    <xf numFmtId="165" fontId="0" fillId="2" borderId="0" applyAlignment="1" pivotButton="0" quotePrefix="0" xfId="1">
      <alignment vertical="center"/>
    </xf>
    <xf numFmtId="165" fontId="0" fillId="2" borderId="5" applyAlignment="1" pivotButton="0" quotePrefix="0" xfId="1">
      <alignment vertical="center"/>
    </xf>
    <xf numFmtId="38" fontId="0" fillId="0" borderId="6" applyAlignment="1" pivotButton="0" quotePrefix="0" xfId="1">
      <alignment vertical="center"/>
    </xf>
    <xf numFmtId="38" fontId="0" fillId="0" borderId="7" applyAlignment="1" pivotButton="0" quotePrefix="0" xfId="1">
      <alignment vertical="center"/>
    </xf>
    <xf numFmtId="165" fontId="0" fillId="2" borderId="7" applyAlignment="1" pivotButton="0" quotePrefix="0" xfId="1">
      <alignment vertical="center"/>
    </xf>
    <xf numFmtId="165" fontId="0" fillId="2" borderId="8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7" fontId="7" fillId="0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6" fontId="7" fillId="0" borderId="0" applyAlignment="1" pivotButton="0" quotePrefix="0" xfId="3">
      <alignment vertical="center"/>
    </xf>
    <xf numFmtId="0" fontId="11" fillId="0" borderId="0" applyAlignment="1" pivotButton="0" quotePrefix="0" xfId="0">
      <alignment horizontal="right" vertical="center"/>
    </xf>
    <xf numFmtId="168" fontId="0" fillId="0" borderId="0" applyAlignment="1" pivotButton="0" quotePrefix="0" xfId="1">
      <alignment vertical="center"/>
    </xf>
    <xf numFmtId="0" fontId="12" fillId="0" borderId="0" applyAlignment="1" pivotButton="0" quotePrefix="0" xfId="4">
      <alignment vertical="center"/>
    </xf>
    <xf numFmtId="38" fontId="0" fillId="0" borderId="0" applyAlignment="1" pivotButton="0" quotePrefix="0" xfId="1">
      <alignment vertical="center"/>
    </xf>
    <xf numFmtId="165" fontId="0" fillId="2" borderId="0" applyAlignment="1" pivotButton="0" quotePrefix="0" xfId="1">
      <alignment vertical="center"/>
    </xf>
    <xf numFmtId="0" fontId="0" fillId="3" borderId="0" applyAlignment="1" pivotButton="0" quotePrefix="0" xfId="0">
      <alignment vertical="center"/>
    </xf>
    <xf numFmtId="167" fontId="7" fillId="3" borderId="0" applyAlignment="1" pivotButton="0" quotePrefix="0" xfId="2">
      <alignment vertical="center"/>
    </xf>
    <xf numFmtId="38" fontId="0" fillId="3" borderId="4" applyAlignment="1" pivotButton="0" quotePrefix="0" xfId="1">
      <alignment vertical="center"/>
    </xf>
    <xf numFmtId="38" fontId="0" fillId="3" borderId="0" applyAlignment="1" pivotButton="0" quotePrefix="0" xfId="1">
      <alignment vertical="center"/>
    </xf>
    <xf numFmtId="169" fontId="0" fillId="3" borderId="0" applyAlignment="1" pivotButton="0" quotePrefix="0" xfId="0">
      <alignment vertical="center"/>
    </xf>
    <xf numFmtId="170" fontId="0" fillId="3" borderId="0" applyAlignment="1" pivotButton="0" quotePrefix="0" xfId="0">
      <alignment vertical="center"/>
    </xf>
    <xf numFmtId="168" fontId="9" fillId="3" borderId="0" applyAlignment="1" pivotButton="0" quotePrefix="0" xfId="1">
      <alignment vertical="center"/>
    </xf>
    <xf numFmtId="165" fontId="0" fillId="2" borderId="0" applyAlignment="1" pivotButton="0" quotePrefix="0" xfId="1">
      <alignment vertical="center"/>
    </xf>
    <xf numFmtId="165" fontId="0" fillId="2" borderId="5" applyAlignment="1" pivotButton="0" quotePrefix="0" xfId="1">
      <alignment vertical="center"/>
    </xf>
    <xf numFmtId="165" fontId="0" fillId="2" borderId="7" applyAlignment="1" pivotButton="0" quotePrefix="0" xfId="1">
      <alignment vertical="center"/>
    </xf>
    <xf numFmtId="165" fontId="0" fillId="2" borderId="8" applyAlignment="1" pivotButton="0" quotePrefix="0" xfId="1">
      <alignment vertical="center"/>
    </xf>
    <xf numFmtId="164" fontId="3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8" fontId="0" fillId="0" borderId="0" applyAlignment="1" pivotButton="0" quotePrefix="0" xfId="1">
      <alignment vertical="center"/>
    </xf>
    <xf numFmtId="170" fontId="0" fillId="3" borderId="0" applyAlignment="1" pivotButton="0" quotePrefix="0" xfId="0">
      <alignment vertical="center"/>
    </xf>
    <xf numFmtId="168" fontId="9" fillId="3" borderId="0" applyAlignment="1" pivotButton="0" quotePrefix="0" xfId="1">
      <alignment vertical="center"/>
    </xf>
    <xf numFmtId="167" fontId="7" fillId="0" borderId="0" applyAlignment="1" pivotButton="0" quotePrefix="0" xfId="2">
      <alignment vertical="center"/>
    </xf>
    <xf numFmtId="167" fontId="7" fillId="3" borderId="0" applyAlignment="1" pivotButton="0" quotePrefix="0" xfId="2">
      <alignment vertical="center"/>
    </xf>
    <xf numFmtId="166" fontId="7" fillId="0" borderId="0" applyAlignment="1" pivotButton="0" quotePrefix="0" xfId="3">
      <alignment vertical="center"/>
    </xf>
    <xf numFmtId="169" fontId="0" fillId="3" borderId="0" applyAlignment="1" pivotButton="0" quotePrefix="0" xfId="0">
      <alignment vertical="center"/>
    </xf>
  </cellXfs>
  <cellStyles count="8">
    <cellStyle name="標準" xfId="0" builtinId="0"/>
    <cellStyle name="桁区切り" xfId="1" builtinId="6"/>
    <cellStyle name="標準_RS0B030 2" xfId="2"/>
    <cellStyle name="標準 2 2" xfId="3"/>
    <cellStyle name="ハイパーリンク" xfId="4" builtinId="8"/>
    <cellStyle name="標準 10" xfId="5"/>
    <cellStyle name="標準 11" xfId="6"/>
    <cellStyle name="標準 3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集計!$D$36</f>
              <strCache>
                <ptCount val="1"/>
                <pt idx="0">
                  <v>建築物着工統計算出指数(S造/多用途建築物)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22225" cap="rnd">
                <a:solidFill>
                  <a:srgbClr val="0070C0"/>
                </a:solidFill>
                <a:prstDash val="sysDash"/>
              </a:ln>
            </spPr>
            <trendlineType val="movingAvg"/>
            <period val="12"/>
            <dispRSqr val="0"/>
            <dispEq val="0"/>
          </trendline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集計!$E$36:$AY$36</f>
              <numCache>
                <formatCode xml:space="preserve">#,##0.0_ </formatCode>
                <ptCount val="47"/>
                <pt idx="0">
                  <v>212.8760674836547</v>
                </pt>
                <pt idx="1">
                  <v>106.179223829025</v>
                </pt>
                <pt idx="2">
                  <v>170.585623283655</v>
                </pt>
                <pt idx="3">
                  <v>109.9878046225642</v>
                </pt>
                <pt idx="4">
                  <v>132.7185489902249</v>
                </pt>
                <pt idx="5">
                  <v>179.2729320218858</v>
                </pt>
                <pt idx="6">
                  <v>276.9297345820485</v>
                </pt>
                <pt idx="7">
                  <v>172.5018948989498</v>
                </pt>
                <pt idx="8">
                  <v>117.5578213393529</v>
                </pt>
                <pt idx="9">
                  <v>143.4635274599084</v>
                </pt>
                <pt idx="10">
                  <v>212.3160342862142</v>
                </pt>
                <pt idx="11">
                  <v>170.9890708104487</v>
                </pt>
                <pt idx="12">
                  <v>144.335863242685</v>
                </pt>
                <pt idx="13">
                  <v>355.0389387233345</v>
                </pt>
                <pt idx="14">
                  <v>106.0322334922087</v>
                </pt>
                <pt idx="15">
                  <v>205.2978025648283</v>
                </pt>
                <pt idx="16">
                  <v>146.7747729146649</v>
                </pt>
                <pt idx="17">
                  <v>238.0146763426092</v>
                </pt>
                <pt idx="18">
                  <v>248.0478426166647</v>
                </pt>
                <pt idx="19">
                  <v>232.8735452396064</v>
                </pt>
                <pt idx="20">
                  <v>226.4549566012897</v>
                </pt>
                <pt idx="21">
                  <v>215.9372659111647</v>
                </pt>
                <pt idx="22">
                  <v>199.243233785</v>
                </pt>
                <pt idx="23">
                  <v>302.511668156825</v>
                </pt>
                <pt idx="24">
                  <v>217.024460878473</v>
                </pt>
                <pt idx="25">
                  <v>241.540296745335</v>
                </pt>
                <pt idx="26">
                  <v>261.6678664350653</v>
                </pt>
                <pt idx="27">
                  <v>334.7292016157402</v>
                </pt>
                <pt idx="28">
                  <v>133.0533895582938</v>
                </pt>
                <pt idx="29">
                  <v>205.1542657468804</v>
                </pt>
                <pt idx="30">
                  <v>206.4792859314608</v>
                </pt>
                <pt idx="31">
                  <v>463.502354659653</v>
                </pt>
                <pt idx="32">
                  <v>226.3111530313057</v>
                </pt>
                <pt idx="33">
                  <v>242.7244996547033</v>
                </pt>
                <pt idx="34">
                  <v>108.9023480349305</v>
                </pt>
                <pt idx="35">
                  <v>158.3852326200015</v>
                </pt>
                <pt idx="36">
                  <v>189.6912824729059</v>
                </pt>
                <pt idx="37">
                  <v>370.6634898219259</v>
                </pt>
                <pt idx="38">
                  <v>370.9960278316377</v>
                </pt>
                <pt idx="39">
                  <v>431.5335590363107</v>
                </pt>
                <pt idx="40">
                  <v>255.2332431359773</v>
                </pt>
                <pt idx="41">
                  <v>239.1357408048952</v>
                </pt>
                <pt idx="42">
                  <v>207.8843522374534</v>
                </pt>
                <pt idx="43">
                  <v>326.6300533493014</v>
                </pt>
                <pt idx="44">
                  <formatCode>#,##0.0;[Red]\-#,##0.0</formatCode>
                  <v>299.0761039180591</v>
                </pt>
                <pt idx="45">
                  <formatCode>#,##0.0;[Red]\-#,##0.0</formatCode>
                  <v>222.1798881882013</v>
                </pt>
                <pt idx="46">
                  <formatCode>#,##0.0;[Red]\-#,##0.0</formatCode>
                  <v>247.4616634354196</v>
                </pt>
              </numCache>
            </numRef>
          </val>
          <smooth val="0"/>
        </ser>
        <ser>
          <idx val="1"/>
          <order val="1"/>
          <tx>
            <strRef>
              <f>集計!$D$39</f>
              <strCache>
                <ptCount val="1"/>
                <pt idx="0">
                  <v>建築費指数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集計!$E$39:$AY$39</f>
              <numCache>
                <formatCode xml:space="preserve">_ * #,##0.0_ ;_ * \-#,##0.0_ ;_ * "-"_ ;_ @_ </formatCode>
                <ptCount val="47"/>
                <pt idx="0">
                  <formatCode>General</formatCode>
                  <v>113.6</v>
                </pt>
                <pt idx="1">
                  <v>113.7</v>
                </pt>
                <pt idx="2">
                  <v>114.4</v>
                </pt>
                <pt idx="3">
                  <v>115.5</v>
                </pt>
                <pt idx="4">
                  <v>116.2</v>
                </pt>
                <pt idx="5">
                  <v>118.3</v>
                </pt>
                <pt idx="6">
                  <v>118.4</v>
                </pt>
                <pt idx="7">
                  <v>120.3</v>
                </pt>
                <pt idx="8">
                  <v>122.2</v>
                </pt>
                <pt idx="9">
                  <v>122.8</v>
                </pt>
                <pt idx="10">
                  <v>123.1</v>
                </pt>
                <pt idx="11">
                  <v>124.1</v>
                </pt>
                <pt idx="12">
                  <v>124.3</v>
                </pt>
                <pt idx="13">
                  <v>124.2</v>
                </pt>
                <pt idx="14">
                  <v>124.4</v>
                </pt>
                <pt idx="15">
                  <v>124.4</v>
                </pt>
                <pt idx="16">
                  <v>124.5</v>
                </pt>
                <pt idx="17">
                  <v>126.7</v>
                </pt>
                <pt idx="18">
                  <v>126.6</v>
                </pt>
                <pt idx="19">
                  <v>127</v>
                </pt>
                <pt idx="20">
                  <v>128.8</v>
                </pt>
                <pt idx="21">
                  <v>128.7</v>
                </pt>
                <pt idx="22">
                  <v>129.4</v>
                </pt>
                <pt idx="23">
                  <v>130.7</v>
                </pt>
                <pt idx="24">
                  <v>130.9</v>
                </pt>
                <pt idx="25">
                  <v>131</v>
                </pt>
                <pt idx="26">
                  <v>132</v>
                </pt>
                <pt idx="27">
                  <v>132.1</v>
                </pt>
                <pt idx="28">
                  <v>132.6</v>
                </pt>
                <pt idx="29">
                  <v>133.4</v>
                </pt>
                <pt idx="30">
                  <v>134.7</v>
                </pt>
                <pt idx="31">
                  <v>134.8</v>
                </pt>
                <pt idx="32">
                  <v>135.7</v>
                </pt>
                <pt idx="33">
                  <v>135.3</v>
                </pt>
                <pt idx="34">
                  <v>135.2</v>
                </pt>
                <pt idx="35">
                  <v>136.9</v>
                </pt>
                <pt idx="36">
                  <v>137</v>
                </pt>
                <pt idx="37">
                  <v>137</v>
                </pt>
                <pt idx="38">
                  <v>137.6</v>
                </pt>
                <pt idx="39">
                  <v>137.4</v>
                </pt>
                <pt idx="40">
                  <v>138</v>
                </pt>
                <pt idx="41">
                  <v>138.8</v>
                </pt>
                <pt idx="42">
                  <v>138.7</v>
                </pt>
                <pt idx="43">
                  <v>138.9</v>
                </pt>
                <pt idx="44">
                  <v>139.5</v>
                </pt>
                <pt idx="45">
                  <formatCode>General</formatCode>
                  <v>139.5</v>
                </pt>
                <pt idx="46">
                  <formatCode>General</formatCode>
                  <v>139.7</v>
                </pt>
              </numCache>
            </numRef>
          </val>
          <smooth val="0"/>
        </ser>
        <ser>
          <idx val="2"/>
          <order val="2"/>
          <tx>
            <strRef>
              <f>集計!$D$42</f>
              <strCache>
                <ptCount val="1"/>
                <pt idx="0">
                  <v>デフレーター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集計!$E$42:$AY$42</f>
              <numCache>
                <formatCode xml:space="preserve">#,##0.0_ </formatCode>
                <ptCount val="47"/>
                <pt idx="0">
                  <formatCode>General</formatCode>
                  <v>115.2</v>
                </pt>
                <pt idx="1">
                  <v>115.6</v>
                </pt>
                <pt idx="2">
                  <v>116.4</v>
                </pt>
                <pt idx="3">
                  <v>117.5</v>
                </pt>
                <pt idx="4">
                  <v>116.9</v>
                </pt>
                <pt idx="5">
                  <v>119.5</v>
                </pt>
                <pt idx="6">
                  <v>117.6</v>
                </pt>
                <pt idx="7">
                  <v>118.9</v>
                </pt>
                <pt idx="8">
                  <v>118.2</v>
                </pt>
                <pt idx="9">
                  <v>120.1</v>
                </pt>
                <pt idx="10">
                  <v>122</v>
                </pt>
                <pt idx="11">
                  <v>121.2</v>
                </pt>
                <pt idx="12">
                  <v>121.1</v>
                </pt>
                <pt idx="13">
                  <v>121.2</v>
                </pt>
                <pt idx="14">
                  <v>122.2</v>
                </pt>
                <pt idx="15">
                  <v>122.3</v>
                </pt>
                <pt idx="16">
                  <v>122.1</v>
                </pt>
                <pt idx="17">
                  <v>122.9</v>
                </pt>
                <pt idx="18">
                  <v>123.3</v>
                </pt>
                <pt idx="19">
                  <v>124</v>
                </pt>
                <pt idx="20">
                  <v>123.7</v>
                </pt>
                <pt idx="21">
                  <v>124.3</v>
                </pt>
                <pt idx="22">
                  <v>124.5</v>
                </pt>
                <pt idx="23">
                  <v>124.4</v>
                </pt>
                <pt idx="24">
                  <v>124.5</v>
                </pt>
                <pt idx="25">
                  <v>124.9</v>
                </pt>
                <pt idx="26">
                  <v>126.2</v>
                </pt>
                <pt idx="27">
                  <v>127.2</v>
                </pt>
                <pt idx="28">
                  <v>128.9</v>
                </pt>
                <pt idx="29">
                  <v>128.6</v>
                </pt>
                <pt idx="30">
                  <v>130.2</v>
                </pt>
                <pt idx="31">
                  <v>128.8</v>
                </pt>
                <pt idx="32">
                  <v>129</v>
                </pt>
                <pt idx="33">
                  <v>129</v>
                </pt>
                <pt idx="34">
                  <v>130.8</v>
                </pt>
                <pt idx="35">
                  <v>131.6</v>
                </pt>
                <pt idx="36">
                  <v>129.8</v>
                </pt>
                <pt idx="37">
                  <v>131.4</v>
                </pt>
                <pt idx="38">
                  <v>129.8</v>
                </pt>
                <pt idx="39">
                  <v>131.7</v>
                </pt>
                <pt idx="40">
                  <formatCode>General</formatCode>
                  <v>133.6</v>
                </pt>
                <pt idx="41">
                  <formatCode>General</formatCode>
                  <v>139</v>
                </pt>
                <pt idx="42">
                  <formatCode>General</formatCode>
                  <v>133.6</v>
                </pt>
                <pt idx="43">
                  <formatCode>General</formatCode>
                  <v>137.8</v>
                </pt>
                <pt idx="44">
                  <formatCode>General</formatCode>
                  <v>132.4</v>
                </pt>
                <pt idx="45">
                  <formatCode>General</formatCode>
                  <v>132.7</v>
                </pt>
                <pt idx="46">
                  <formatCode>0.0</formatCode>
                  <v>132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3528895"/>
        <axId val="823514495"/>
      </lineChart>
      <catAx>
        <axId val="8235288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823514495"/>
        <crosses val="autoZero"/>
        <auto val="1"/>
        <lblAlgn val="ctr"/>
        <lblOffset val="100"/>
        <noMultiLvlLbl val="0"/>
      </catAx>
      <valAx>
        <axId val="823514495"/>
        <scaling>
          <orientation val="minMax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82352889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集計!$D$36</f>
              <strCache>
                <ptCount val="1"/>
                <pt idx="0">
                  <v>建築物着工統計算出指数(S造/多用途建築物)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22225" cap="rnd">
                <a:solidFill>
                  <a:srgbClr val="0070C0"/>
                </a:solidFill>
                <a:prstDash val="sysDash"/>
              </a:ln>
            </spPr>
            <trendlineType val="movingAvg"/>
            <period val="12"/>
            <dispRSqr val="0"/>
            <dispEq val="0"/>
          </trendline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集計!$E$36:$AY$36</f>
              <numCache>
                <formatCode xml:space="preserve">#,##0.0_ </formatCode>
                <ptCount val="47"/>
                <pt idx="0">
                  <v>212.8760674836547</v>
                </pt>
                <pt idx="1">
                  <v>106.179223829025</v>
                </pt>
                <pt idx="2">
                  <v>170.585623283655</v>
                </pt>
                <pt idx="3">
                  <v>109.9878046225642</v>
                </pt>
                <pt idx="4">
                  <v>132.7185489902249</v>
                </pt>
                <pt idx="5">
                  <v>179.2729320218858</v>
                </pt>
                <pt idx="6">
                  <v>276.9297345820485</v>
                </pt>
                <pt idx="7">
                  <v>172.5018948989498</v>
                </pt>
                <pt idx="8">
                  <v>117.5578213393529</v>
                </pt>
                <pt idx="9">
                  <v>143.4635274599084</v>
                </pt>
                <pt idx="10">
                  <v>212.3160342862142</v>
                </pt>
                <pt idx="11">
                  <v>170.9890708104487</v>
                </pt>
                <pt idx="12">
                  <v>144.335863242685</v>
                </pt>
                <pt idx="13">
                  <v>355.0389387233345</v>
                </pt>
                <pt idx="14">
                  <v>106.0322334922087</v>
                </pt>
                <pt idx="15">
                  <v>205.2978025648283</v>
                </pt>
                <pt idx="16">
                  <v>146.7747729146649</v>
                </pt>
                <pt idx="17">
                  <v>238.0146763426092</v>
                </pt>
                <pt idx="18">
                  <v>248.0478426166647</v>
                </pt>
                <pt idx="19">
                  <v>232.8735452396064</v>
                </pt>
                <pt idx="20">
                  <v>226.4549566012897</v>
                </pt>
                <pt idx="21">
                  <v>215.9372659111647</v>
                </pt>
                <pt idx="22">
                  <v>199.243233785</v>
                </pt>
                <pt idx="23">
                  <v>302.511668156825</v>
                </pt>
                <pt idx="24">
                  <v>217.024460878473</v>
                </pt>
                <pt idx="25">
                  <v>241.540296745335</v>
                </pt>
                <pt idx="26">
                  <v>261.6678664350653</v>
                </pt>
                <pt idx="27">
                  <v>334.7292016157402</v>
                </pt>
                <pt idx="28">
                  <v>133.0533895582938</v>
                </pt>
                <pt idx="29">
                  <v>205.1542657468804</v>
                </pt>
                <pt idx="30">
                  <v>206.4792859314608</v>
                </pt>
                <pt idx="31">
                  <v>463.502354659653</v>
                </pt>
                <pt idx="32">
                  <v>226.3111530313057</v>
                </pt>
                <pt idx="33">
                  <v>242.7244996547033</v>
                </pt>
                <pt idx="34">
                  <v>108.9023480349305</v>
                </pt>
                <pt idx="35">
                  <v>158.3852326200015</v>
                </pt>
                <pt idx="36">
                  <v>189.6912824729059</v>
                </pt>
                <pt idx="37">
                  <v>370.6634898219259</v>
                </pt>
                <pt idx="38">
                  <v>370.9960278316377</v>
                </pt>
                <pt idx="39">
                  <v>431.5335590363107</v>
                </pt>
                <pt idx="40">
                  <v>255.2332431359773</v>
                </pt>
                <pt idx="41">
                  <v>239.1357408048952</v>
                </pt>
                <pt idx="42">
                  <v>207.8843522374534</v>
                </pt>
                <pt idx="43">
                  <v>326.6300533493014</v>
                </pt>
                <pt idx="44">
                  <formatCode>#,##0.0;[Red]\-#,##0.0</formatCode>
                  <v>299.0761039180591</v>
                </pt>
                <pt idx="45">
                  <formatCode>#,##0.0;[Red]\-#,##0.0</formatCode>
                  <v>222.1798881882013</v>
                </pt>
                <pt idx="46">
                  <formatCode>#,##0.0;[Red]\-#,##0.0</formatCode>
                  <v>247.4616634354196</v>
                </pt>
              </numCache>
            </numRef>
          </val>
          <smooth val="0"/>
        </ser>
        <ser>
          <idx val="1"/>
          <order val="1"/>
          <tx>
            <strRef>
              <f>集計!$D$39</f>
              <strCache>
                <ptCount val="1"/>
                <pt idx="0">
                  <v>建築費指数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集計!$E$39:$AY$39</f>
              <numCache>
                <formatCode xml:space="preserve">_ * #,##0.0_ ;_ * \-#,##0.0_ ;_ * "-"_ ;_ @_ </formatCode>
                <ptCount val="47"/>
                <pt idx="0">
                  <formatCode>General</formatCode>
                  <v>113.6</v>
                </pt>
                <pt idx="1">
                  <v>113.7</v>
                </pt>
                <pt idx="2">
                  <v>114.4</v>
                </pt>
                <pt idx="3">
                  <v>115.5</v>
                </pt>
                <pt idx="4">
                  <v>116.2</v>
                </pt>
                <pt idx="5">
                  <v>118.3</v>
                </pt>
                <pt idx="6">
                  <v>118.4</v>
                </pt>
                <pt idx="7">
                  <v>120.3</v>
                </pt>
                <pt idx="8">
                  <v>122.2</v>
                </pt>
                <pt idx="9">
                  <v>122.8</v>
                </pt>
                <pt idx="10">
                  <v>123.1</v>
                </pt>
                <pt idx="11">
                  <v>124.1</v>
                </pt>
                <pt idx="12">
                  <v>124.3</v>
                </pt>
                <pt idx="13">
                  <v>124.2</v>
                </pt>
                <pt idx="14">
                  <v>124.4</v>
                </pt>
                <pt idx="15">
                  <v>124.4</v>
                </pt>
                <pt idx="16">
                  <v>124.5</v>
                </pt>
                <pt idx="17">
                  <v>126.7</v>
                </pt>
                <pt idx="18">
                  <v>126.6</v>
                </pt>
                <pt idx="19">
                  <v>127</v>
                </pt>
                <pt idx="20">
                  <v>128.8</v>
                </pt>
                <pt idx="21">
                  <v>128.7</v>
                </pt>
                <pt idx="22">
                  <v>129.4</v>
                </pt>
                <pt idx="23">
                  <v>130.7</v>
                </pt>
                <pt idx="24">
                  <v>130.9</v>
                </pt>
                <pt idx="25">
                  <v>131</v>
                </pt>
                <pt idx="26">
                  <v>132</v>
                </pt>
                <pt idx="27">
                  <v>132.1</v>
                </pt>
                <pt idx="28">
                  <v>132.6</v>
                </pt>
                <pt idx="29">
                  <v>133.4</v>
                </pt>
                <pt idx="30">
                  <v>134.7</v>
                </pt>
                <pt idx="31">
                  <v>134.8</v>
                </pt>
                <pt idx="32">
                  <v>135.7</v>
                </pt>
                <pt idx="33">
                  <v>135.3</v>
                </pt>
                <pt idx="34">
                  <v>135.2</v>
                </pt>
                <pt idx="35">
                  <v>136.9</v>
                </pt>
                <pt idx="36">
                  <v>137</v>
                </pt>
                <pt idx="37">
                  <v>137</v>
                </pt>
                <pt idx="38">
                  <v>137.6</v>
                </pt>
                <pt idx="39">
                  <v>137.4</v>
                </pt>
                <pt idx="40">
                  <v>138</v>
                </pt>
                <pt idx="41">
                  <v>138.8</v>
                </pt>
                <pt idx="42">
                  <v>138.7</v>
                </pt>
                <pt idx="43">
                  <v>138.9</v>
                </pt>
                <pt idx="44">
                  <v>139.5</v>
                </pt>
                <pt idx="45">
                  <formatCode>General</formatCode>
                  <v>139.5</v>
                </pt>
                <pt idx="46">
                  <formatCode>General</formatCode>
                  <v>139.7</v>
                </pt>
              </numCache>
            </numRef>
          </val>
          <smooth val="0"/>
        </ser>
        <ser>
          <idx val="2"/>
          <order val="2"/>
          <tx>
            <strRef>
              <f>集計!$D$42</f>
              <strCache>
                <ptCount val="1"/>
                <pt idx="0">
                  <v>デフレーター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集計!$E$42:$AY$42</f>
              <numCache>
                <formatCode xml:space="preserve">#,##0.0_ </formatCode>
                <ptCount val="47"/>
                <pt idx="0">
                  <formatCode>General</formatCode>
                  <v>115.2</v>
                </pt>
                <pt idx="1">
                  <v>115.6</v>
                </pt>
                <pt idx="2">
                  <v>116.4</v>
                </pt>
                <pt idx="3">
                  <v>117.5</v>
                </pt>
                <pt idx="4">
                  <v>116.9</v>
                </pt>
                <pt idx="5">
                  <v>119.5</v>
                </pt>
                <pt idx="6">
                  <v>117.6</v>
                </pt>
                <pt idx="7">
                  <v>118.9</v>
                </pt>
                <pt idx="8">
                  <v>118.2</v>
                </pt>
                <pt idx="9">
                  <v>120.1</v>
                </pt>
                <pt idx="10">
                  <v>122</v>
                </pt>
                <pt idx="11">
                  <v>121.2</v>
                </pt>
                <pt idx="12">
                  <v>121.1</v>
                </pt>
                <pt idx="13">
                  <v>121.2</v>
                </pt>
                <pt idx="14">
                  <v>122.2</v>
                </pt>
                <pt idx="15">
                  <v>122.3</v>
                </pt>
                <pt idx="16">
                  <v>122.1</v>
                </pt>
                <pt idx="17">
                  <v>122.9</v>
                </pt>
                <pt idx="18">
                  <v>123.3</v>
                </pt>
                <pt idx="19">
                  <v>124</v>
                </pt>
                <pt idx="20">
                  <v>123.7</v>
                </pt>
                <pt idx="21">
                  <v>124.3</v>
                </pt>
                <pt idx="22">
                  <v>124.5</v>
                </pt>
                <pt idx="23">
                  <v>124.4</v>
                </pt>
                <pt idx="24">
                  <v>124.5</v>
                </pt>
                <pt idx="25">
                  <v>124.9</v>
                </pt>
                <pt idx="26">
                  <v>126.2</v>
                </pt>
                <pt idx="27">
                  <v>127.2</v>
                </pt>
                <pt idx="28">
                  <v>128.9</v>
                </pt>
                <pt idx="29">
                  <v>128.6</v>
                </pt>
                <pt idx="30">
                  <v>130.2</v>
                </pt>
                <pt idx="31">
                  <v>128.8</v>
                </pt>
                <pt idx="32">
                  <v>129</v>
                </pt>
                <pt idx="33">
                  <v>129</v>
                </pt>
                <pt idx="34">
                  <v>130.8</v>
                </pt>
                <pt idx="35">
                  <v>131.6</v>
                </pt>
                <pt idx="36">
                  <v>129.8</v>
                </pt>
                <pt idx="37">
                  <v>131.4</v>
                </pt>
                <pt idx="38">
                  <v>129.8</v>
                </pt>
                <pt idx="39">
                  <v>131.7</v>
                </pt>
                <pt idx="40">
                  <formatCode>General</formatCode>
                  <v>133.6</v>
                </pt>
                <pt idx="41">
                  <formatCode>General</formatCode>
                  <v>139</v>
                </pt>
                <pt idx="42">
                  <formatCode>General</formatCode>
                  <v>133.6</v>
                </pt>
                <pt idx="43">
                  <formatCode>General</formatCode>
                  <v>137.8</v>
                </pt>
                <pt idx="44">
                  <formatCode>General</formatCode>
                  <v>132.4</v>
                </pt>
                <pt idx="45">
                  <formatCode>General</formatCode>
                  <v>132.7</v>
                </pt>
                <pt idx="46">
                  <formatCode>0.0</formatCode>
                  <v>132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3528895"/>
        <axId val="823514495"/>
      </lineChart>
      <catAx>
        <axId val="8235288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823514495"/>
        <crosses val="autoZero"/>
        <auto val="1"/>
        <lblAlgn val="ctr"/>
        <lblOffset val="100"/>
        <noMultiLvlLbl val="0"/>
      </catAx>
      <valAx>
        <axId val="823514495"/>
        <scaling>
          <orientation val="minMax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82352889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31</col>
      <colOff>190500</colOff>
      <row>49</row>
      <rowOff>0</rowOff>
    </from>
    <to>
      <col>51</col>
      <colOff>464911</colOff>
      <row>86</row>
      <rowOff>107042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219075</colOff>
      <row>16</row>
      <rowOff>111126</rowOff>
    </from>
    <to>
      <col>21</col>
      <colOff>112486</colOff>
      <row>46</row>
      <rowOff>122918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www.e-stat.go.jp/stat-search/files?page=1&amp;toukei=00600120&amp;tstat=00000101696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selection activeCell="A1" sqref="A1"/>
    </sheetView>
  </sheetViews>
  <sheetFormatPr baseColWidth="8" defaultColWidth="8.69921875" defaultRowHeight="18"/>
  <cols>
    <col width="2.796875" customWidth="1" style="2" min="1" max="1"/>
    <col width="14.296875" bestFit="1" customWidth="1" style="2" min="2" max="2"/>
    <col width="11.59765625" customWidth="1" style="2" min="3" max="88"/>
    <col width="8.69921875" customWidth="1" style="2" min="89" max="16384"/>
  </cols>
  <sheetData>
    <row r="1" ht="19.8" customHeight="1">
      <c r="A1" s="1" t="inlineStr">
        <is>
          <t>鉄骨鉄筋コンクリート造</t>
        </is>
      </c>
    </row>
    <row r="2" ht="20.4" customHeight="1" thickBot="1">
      <c r="A2" s="1" t="n"/>
    </row>
    <row r="3">
      <c r="C3" s="4" t="inlineStr">
        <is>
          <t>2015（基準）</t>
        </is>
      </c>
      <c r="D3" s="5" t="n"/>
      <c r="E3" s="5" t="n"/>
      <c r="F3" s="6" t="n"/>
      <c r="G3" s="4" t="inlineStr">
        <is>
          <t>令和4年2月分</t>
        </is>
      </c>
      <c r="H3" s="5" t="n"/>
      <c r="I3" s="5" t="n"/>
      <c r="J3" s="6" t="n"/>
      <c r="K3" s="4" t="inlineStr">
        <is>
          <t>令和4年5月分</t>
        </is>
      </c>
      <c r="L3" s="5" t="n"/>
      <c r="M3" s="5" t="n"/>
      <c r="N3" s="6" t="n"/>
      <c r="O3" s="4" t="inlineStr">
        <is>
          <t>令和4年8月分</t>
        </is>
      </c>
      <c r="P3" s="5" t="n"/>
      <c r="Q3" s="5" t="n"/>
      <c r="R3" s="6" t="n"/>
      <c r="S3" s="4" t="inlineStr">
        <is>
          <t>令和4年11月分</t>
        </is>
      </c>
      <c r="T3" s="5" t="n"/>
      <c r="U3" s="5" t="n"/>
      <c r="V3" s="6" t="n"/>
      <c r="W3" s="4" t="inlineStr">
        <is>
          <t>令和5年2月分</t>
        </is>
      </c>
      <c r="X3" s="5" t="n"/>
      <c r="Y3" s="5" t="n"/>
      <c r="Z3" s="6" t="n"/>
      <c r="AA3" s="4" t="inlineStr">
        <is>
          <t>令和5年5月分</t>
        </is>
      </c>
      <c r="AB3" s="5" t="n"/>
      <c r="AC3" s="5" t="n"/>
      <c r="AD3" s="6" t="n"/>
      <c r="AE3" s="4" t="inlineStr">
        <is>
          <t>令和5年8月分</t>
        </is>
      </c>
      <c r="AF3" s="5" t="n"/>
      <c r="AG3" s="5" t="n"/>
      <c r="AH3" s="6" t="n"/>
      <c r="AI3" s="4" t="inlineStr">
        <is>
          <t>令和5年11月分</t>
        </is>
      </c>
      <c r="AJ3" s="5" t="n"/>
      <c r="AK3" s="5" t="n"/>
      <c r="AL3" s="6" t="n"/>
      <c r="AM3" s="4" t="inlineStr">
        <is>
          <t>令和6年2月分</t>
        </is>
      </c>
      <c r="AN3" s="5" t="n"/>
      <c r="AO3" s="5" t="n"/>
      <c r="AP3" s="6" t="n"/>
      <c r="AQ3" s="4" t="inlineStr">
        <is>
          <t>令和6年5月分</t>
        </is>
      </c>
      <c r="AR3" s="5" t="n"/>
      <c r="AS3" s="5" t="n"/>
      <c r="AT3" s="6" t="n"/>
      <c r="AU3" s="4" t="inlineStr">
        <is>
          <t>令和6年8月分</t>
        </is>
      </c>
      <c r="AV3" s="5" t="n"/>
      <c r="AW3" s="5" t="n"/>
      <c r="AX3" s="6" t="n"/>
      <c r="AY3" s="4" t="inlineStr">
        <is>
          <t>令和6年11月分</t>
        </is>
      </c>
      <c r="AZ3" s="5" t="n"/>
      <c r="BA3" s="5" t="n"/>
      <c r="BB3" s="6" t="n"/>
      <c r="BC3" s="4" t="inlineStr">
        <is>
          <t>令和7年2月分</t>
        </is>
      </c>
      <c r="BD3" s="5" t="n"/>
      <c r="BE3" s="5" t="n"/>
      <c r="BF3" s="6" t="n"/>
      <c r="BG3" s="4" t="inlineStr">
        <is>
          <t>令和7年5月分</t>
        </is>
      </c>
      <c r="BH3" s="5" t="n"/>
      <c r="BI3" s="5" t="n"/>
      <c r="BJ3" s="6" t="n"/>
    </row>
    <row r="4" ht="45" customHeight="1">
      <c r="C4" s="7" t="inlineStr">
        <is>
          <t>床面積の合計　（㎡）</t>
        </is>
      </c>
      <c r="D4" s="8" t="inlineStr">
        <is>
          <t>工事費予定額（万円）</t>
        </is>
      </c>
      <c r="E4" s="9" t="inlineStr">
        <is>
          <t>面積単価
（万円/㎡）</t>
        </is>
      </c>
      <c r="F4" s="10" t="inlineStr">
        <is>
          <t>面積単価
（万円/坪）</t>
        </is>
      </c>
      <c r="G4" s="7" t="inlineStr">
        <is>
          <t>床面積の合計　（㎡）</t>
        </is>
      </c>
      <c r="H4" s="8" t="inlineStr">
        <is>
          <t>工事費予定額（万円）</t>
        </is>
      </c>
      <c r="I4" s="9" t="inlineStr">
        <is>
          <t>面積単価
（万円/㎡）</t>
        </is>
      </c>
      <c r="J4" s="10" t="inlineStr">
        <is>
          <t>面積単価
（万円/坪）</t>
        </is>
      </c>
      <c r="K4" s="7" t="inlineStr">
        <is>
          <t>床面積の合計　（㎡）</t>
        </is>
      </c>
      <c r="L4" s="8" t="inlineStr">
        <is>
          <t>工事費予定額（万円）</t>
        </is>
      </c>
      <c r="M4" s="9" t="inlineStr">
        <is>
          <t>面積単価
（万円/㎡）</t>
        </is>
      </c>
      <c r="N4" s="10" t="inlineStr">
        <is>
          <t>面積単価
（万円/坪）</t>
        </is>
      </c>
      <c r="O4" s="7" t="inlineStr">
        <is>
          <t>床面積の合計　（㎡）</t>
        </is>
      </c>
      <c r="P4" s="8" t="inlineStr">
        <is>
          <t>工事費予定額（万円）</t>
        </is>
      </c>
      <c r="Q4" s="9" t="inlineStr">
        <is>
          <t>面積単価
（万円/㎡）</t>
        </is>
      </c>
      <c r="R4" s="10" t="inlineStr">
        <is>
          <t>面積単価
（万円/坪）</t>
        </is>
      </c>
      <c r="S4" s="7" t="inlineStr">
        <is>
          <t>床面積の合計　（㎡）</t>
        </is>
      </c>
      <c r="T4" s="8" t="inlineStr">
        <is>
          <t>工事費予定額（万円）</t>
        </is>
      </c>
      <c r="U4" s="9" t="inlineStr">
        <is>
          <t>面積単価
（万円/㎡）</t>
        </is>
      </c>
      <c r="V4" s="10" t="inlineStr">
        <is>
          <t>面積単価
（万円/坪）</t>
        </is>
      </c>
      <c r="W4" s="7" t="inlineStr">
        <is>
          <t>床面積の合計　（㎡）</t>
        </is>
      </c>
      <c r="X4" s="8" t="inlineStr">
        <is>
          <t>工事費予定額（万円）</t>
        </is>
      </c>
      <c r="Y4" s="9" t="inlineStr">
        <is>
          <t>面積単価
（万円/㎡）</t>
        </is>
      </c>
      <c r="Z4" s="10" t="inlineStr">
        <is>
          <t>面積単価
（万円/坪）</t>
        </is>
      </c>
      <c r="AA4" s="7" t="inlineStr">
        <is>
          <t>床面積の合計　（㎡）</t>
        </is>
      </c>
      <c r="AB4" s="8" t="inlineStr">
        <is>
          <t>工事費予定額（万円）</t>
        </is>
      </c>
      <c r="AC4" s="9" t="inlineStr">
        <is>
          <t>面積単価
（万円/㎡）</t>
        </is>
      </c>
      <c r="AD4" s="10" t="inlineStr">
        <is>
          <t>面積単価
（万円/坪）</t>
        </is>
      </c>
      <c r="AE4" s="7" t="inlineStr">
        <is>
          <t>床面積の合計　（㎡）</t>
        </is>
      </c>
      <c r="AF4" s="8" t="inlineStr">
        <is>
          <t>工事費予定額（万円）</t>
        </is>
      </c>
      <c r="AG4" s="9" t="inlineStr">
        <is>
          <t>面積単価
（万円/㎡）</t>
        </is>
      </c>
      <c r="AH4" s="10" t="inlineStr">
        <is>
          <t>面積単価
（万円/坪）</t>
        </is>
      </c>
      <c r="AI4" s="7" t="inlineStr">
        <is>
          <t>床面積の合計　（㎡）</t>
        </is>
      </c>
      <c r="AJ4" s="8" t="inlineStr">
        <is>
          <t>工事費予定額（万円）</t>
        </is>
      </c>
      <c r="AK4" s="9" t="inlineStr">
        <is>
          <t>面積単価
（万円/㎡）</t>
        </is>
      </c>
      <c r="AL4" s="10" t="inlineStr">
        <is>
          <t>面積単価
（万円/坪）</t>
        </is>
      </c>
      <c r="AM4" s="7" t="inlineStr">
        <is>
          <t>床面積の合計　（㎡）</t>
        </is>
      </c>
      <c r="AN4" s="8" t="inlineStr">
        <is>
          <t>工事費予定額（万円）</t>
        </is>
      </c>
      <c r="AO4" s="9" t="inlineStr">
        <is>
          <t>面積単価
（万円/㎡）</t>
        </is>
      </c>
      <c r="AP4" s="10" t="inlineStr">
        <is>
          <t>面積単価
（万円/坪）</t>
        </is>
      </c>
      <c r="AQ4" s="7" t="inlineStr">
        <is>
          <t>床面積の合計　（㎡）</t>
        </is>
      </c>
      <c r="AR4" s="8" t="inlineStr">
        <is>
          <t>工事費予定額（万円）</t>
        </is>
      </c>
      <c r="AS4" s="9" t="inlineStr">
        <is>
          <t>面積単価
（万円/㎡）</t>
        </is>
      </c>
      <c r="AT4" s="10" t="inlineStr">
        <is>
          <t>面積単価
（万円/坪）</t>
        </is>
      </c>
      <c r="AU4" s="7" t="inlineStr">
        <is>
          <t>床面積の合計　（㎡）</t>
        </is>
      </c>
      <c r="AV4" s="8" t="inlineStr">
        <is>
          <t>工事費予定額（万円）</t>
        </is>
      </c>
      <c r="AW4" s="9" t="inlineStr">
        <is>
          <t>面積単価
（万円/㎡）</t>
        </is>
      </c>
      <c r="AX4" s="10" t="inlineStr">
        <is>
          <t>面積単価
（万円/坪）</t>
        </is>
      </c>
      <c r="AY4" s="7" t="inlineStr">
        <is>
          <t>床面積の合計　（㎡）</t>
        </is>
      </c>
      <c r="AZ4" s="8" t="inlineStr">
        <is>
          <t>工事費予定額（万円）</t>
        </is>
      </c>
      <c r="BA4" s="9" t="inlineStr">
        <is>
          <t>面積単価
（万円/㎡）</t>
        </is>
      </c>
      <c r="BB4" s="10" t="inlineStr">
        <is>
          <t>面積単価
（万円/坪）</t>
        </is>
      </c>
      <c r="BC4" s="7" t="inlineStr">
        <is>
          <t>床面積の合計　（㎡）</t>
        </is>
      </c>
      <c r="BD4" s="8" t="inlineStr">
        <is>
          <t>工事費予定額（万円）</t>
        </is>
      </c>
      <c r="BE4" s="9" t="inlineStr">
        <is>
          <t>面積単価
（万円/㎡）</t>
        </is>
      </c>
      <c r="BF4" s="10" t="inlineStr">
        <is>
          <t>面積単価
（万円/坪）</t>
        </is>
      </c>
      <c r="BG4" s="7" t="inlineStr">
        <is>
          <t>床面積の合計　（㎡）</t>
        </is>
      </c>
      <c r="BH4" s="8" t="inlineStr">
        <is>
          <t>工事費予定額（万円）</t>
        </is>
      </c>
      <c r="BI4" s="9" t="inlineStr">
        <is>
          <t>面積単価
（万円/㎡）</t>
        </is>
      </c>
      <c r="BJ4" s="10" t="inlineStr">
        <is>
          <t>面積単価
（万円/坪）</t>
        </is>
      </c>
    </row>
    <row r="5">
      <c r="B5" s="2" t="inlineStr">
        <is>
          <t>事務所</t>
        </is>
      </c>
      <c r="C5" s="11" t="n">
        <v>376276</v>
      </c>
      <c r="D5" s="31" t="n">
        <v>14713671</v>
      </c>
      <c r="E5" s="40">
        <f>D5/C5</f>
        <v/>
      </c>
      <c r="F5" s="41">
        <f>E5*3.30578512</f>
        <v/>
      </c>
      <c r="G5" s="11" t="n">
        <v>14473</v>
      </c>
      <c r="H5" s="31" t="n">
        <v>703002</v>
      </c>
      <c r="I5" s="40">
        <f>H5/G5</f>
        <v/>
      </c>
      <c r="J5" s="41">
        <f>I5*3.30578512</f>
        <v/>
      </c>
      <c r="K5" s="11" t="n">
        <v>12930</v>
      </c>
      <c r="L5" s="31" t="n">
        <v>468976</v>
      </c>
      <c r="M5" s="40">
        <f>L5/K5</f>
        <v/>
      </c>
      <c r="N5" s="41">
        <f>M5*3.30578512</f>
        <v/>
      </c>
      <c r="O5" s="11" t="n">
        <v>2176</v>
      </c>
      <c r="P5" s="31" t="n">
        <v>33947</v>
      </c>
      <c r="Q5" s="40">
        <f>P5/O5</f>
        <v/>
      </c>
      <c r="R5" s="41">
        <f>Q5*3.30578512</f>
        <v/>
      </c>
      <c r="S5" s="11" t="n">
        <v>6950</v>
      </c>
      <c r="T5" s="31" t="n">
        <v>278981</v>
      </c>
      <c r="U5" s="40">
        <f>T5/S5</f>
        <v/>
      </c>
      <c r="V5" s="41">
        <f>U5*3.30578512</f>
        <v/>
      </c>
      <c r="W5" s="11" t="n">
        <v>15791</v>
      </c>
      <c r="X5" s="31" t="n">
        <v>679000</v>
      </c>
      <c r="Y5" s="40">
        <f>X5/W5</f>
        <v/>
      </c>
      <c r="Z5" s="41">
        <f>Y5*3.30578512</f>
        <v/>
      </c>
      <c r="AA5" s="11" t="n">
        <v>13436</v>
      </c>
      <c r="AB5" s="31" t="n">
        <v>844000</v>
      </c>
      <c r="AC5" s="40">
        <f>AB5/AA5</f>
        <v/>
      </c>
      <c r="AD5" s="41">
        <f>AC5*3.30578512</f>
        <v/>
      </c>
      <c r="AE5" s="11" t="n">
        <v>29255</v>
      </c>
      <c r="AF5" s="31" t="n">
        <v>1503500</v>
      </c>
      <c r="AG5" s="40">
        <f>AF5/AE5</f>
        <v/>
      </c>
      <c r="AH5" s="41">
        <f>AG5*3.30578512</f>
        <v/>
      </c>
      <c r="AI5" s="11" t="n">
        <v>6133</v>
      </c>
      <c r="AJ5" s="31" t="n">
        <v>385200</v>
      </c>
      <c r="AK5" s="40">
        <f>AJ5/AI5</f>
        <v/>
      </c>
      <c r="AL5" s="41">
        <f>AK5*3.30578512</f>
        <v/>
      </c>
      <c r="AM5" s="11" t="n">
        <v>0</v>
      </c>
      <c r="AN5" s="31" t="n">
        <v>0</v>
      </c>
      <c r="AO5" s="40">
        <f>AN5/AM5</f>
        <v/>
      </c>
      <c r="AP5" s="41">
        <f>AO5*3.30578512</f>
        <v/>
      </c>
      <c r="AQ5" s="11" t="n">
        <v>73716</v>
      </c>
      <c r="AR5" s="31" t="n">
        <v>4000000</v>
      </c>
      <c r="AS5" s="40">
        <f>AR5/AQ5</f>
        <v/>
      </c>
      <c r="AT5" s="41">
        <f>AS5*3.30578512</f>
        <v/>
      </c>
      <c r="AU5" s="11" t="n">
        <v>3487</v>
      </c>
      <c r="AV5" s="31" t="n">
        <v>213200</v>
      </c>
      <c r="AW5" s="40">
        <f>AV5/AU5</f>
        <v/>
      </c>
      <c r="AX5" s="41">
        <f>AW5*3.30578512</f>
        <v/>
      </c>
      <c r="AY5" s="11" t="n">
        <v>43887</v>
      </c>
      <c r="AZ5" s="31" t="n">
        <v>2383000</v>
      </c>
      <c r="BA5" s="40">
        <f>AZ5/AY5</f>
        <v/>
      </c>
      <c r="BB5" s="41">
        <f>BA5*3.30578512</f>
        <v/>
      </c>
      <c r="BC5" s="11" t="n">
        <v>3548</v>
      </c>
      <c r="BD5" s="31" t="n">
        <v>325057.03864</v>
      </c>
      <c r="BE5" s="40">
        <f>BD5/BC5</f>
        <v/>
      </c>
      <c r="BF5" s="41">
        <f>BE5*3.30578512</f>
        <v/>
      </c>
      <c r="BG5" s="11" t="n">
        <v>1988</v>
      </c>
      <c r="BH5" s="31" t="n">
        <v>96136</v>
      </c>
      <c r="BI5" s="40">
        <f>BH5/BG5</f>
        <v/>
      </c>
      <c r="BJ5" s="41">
        <f>BI5*3.30578512</f>
        <v/>
      </c>
    </row>
    <row r="6">
      <c r="B6" s="2" t="inlineStr">
        <is>
          <t>店舗</t>
        </is>
      </c>
      <c r="C6" s="11" t="n">
        <v>47766</v>
      </c>
      <c r="D6" s="31" t="n">
        <v>1192080</v>
      </c>
      <c r="E6" s="40">
        <f>D6/C6</f>
        <v/>
      </c>
      <c r="F6" s="41">
        <f>E6*3.30578512</f>
        <v/>
      </c>
      <c r="G6" s="11" t="n">
        <v>505</v>
      </c>
      <c r="H6" s="31" t="n">
        <v>30000</v>
      </c>
      <c r="I6" s="40">
        <f>H6/G6</f>
        <v/>
      </c>
      <c r="J6" s="41">
        <f>I6*3.30578512</f>
        <v/>
      </c>
      <c r="K6" s="11" t="n">
        <v>178</v>
      </c>
      <c r="L6" s="31" t="n">
        <v>2250</v>
      </c>
      <c r="M6" s="40">
        <f>L6/K6</f>
        <v/>
      </c>
      <c r="N6" s="41">
        <f>M6*3.30578512</f>
        <v/>
      </c>
      <c r="O6" s="11" t="n">
        <v>7218</v>
      </c>
      <c r="P6" s="31" t="n">
        <v>122430</v>
      </c>
      <c r="Q6" s="40">
        <f>P6/O6</f>
        <v/>
      </c>
      <c r="R6" s="41">
        <f>Q6*3.30578512</f>
        <v/>
      </c>
      <c r="S6" s="11" t="n">
        <v>1194</v>
      </c>
      <c r="T6" s="31" t="n">
        <v>10000</v>
      </c>
      <c r="U6" s="40">
        <f>T6/S6</f>
        <v/>
      </c>
      <c r="V6" s="41">
        <f>U6*3.30578512</f>
        <v/>
      </c>
      <c r="W6" s="11" t="n">
        <v>5739</v>
      </c>
      <c r="X6" s="31" t="n">
        <v>177000</v>
      </c>
      <c r="Y6" s="40">
        <f>X6/W6</f>
        <v/>
      </c>
      <c r="Z6" s="41">
        <f>Y6*3.30578512</f>
        <v/>
      </c>
      <c r="AA6" s="11" t="n">
        <v>0</v>
      </c>
      <c r="AB6" s="31" t="n">
        <v>0</v>
      </c>
      <c r="AC6" s="40">
        <f>AB6/AA6</f>
        <v/>
      </c>
      <c r="AD6" s="41">
        <f>AC6*3.30578512</f>
        <v/>
      </c>
      <c r="AE6" s="11" t="n">
        <v>309</v>
      </c>
      <c r="AF6" s="31" t="n">
        <v>30000</v>
      </c>
      <c r="AG6" s="40">
        <f>AF6/AE6</f>
        <v/>
      </c>
      <c r="AH6" s="41">
        <f>AG6*3.30578512</f>
        <v/>
      </c>
      <c r="AI6" s="11" t="n">
        <v>0</v>
      </c>
      <c r="AJ6" s="31" t="n">
        <v>0</v>
      </c>
      <c r="AK6" s="40">
        <f>AJ6/AI6</f>
        <v/>
      </c>
      <c r="AL6" s="41">
        <f>AK6*3.30578512</f>
        <v/>
      </c>
      <c r="AM6" s="11" t="n">
        <v>0</v>
      </c>
      <c r="AN6" s="31" t="n">
        <v>0</v>
      </c>
      <c r="AO6" s="40">
        <f>AN6/AM6</f>
        <v/>
      </c>
      <c r="AP6" s="41">
        <f>AO6*3.30578512</f>
        <v/>
      </c>
      <c r="AQ6" s="11" t="n">
        <v>285</v>
      </c>
      <c r="AR6" s="31" t="n">
        <v>100</v>
      </c>
      <c r="AS6" s="40">
        <f>AR6/AQ6</f>
        <v/>
      </c>
      <c r="AT6" s="41">
        <f>AS6*3.30578512</f>
        <v/>
      </c>
      <c r="AU6" s="11" t="n">
        <v>243</v>
      </c>
      <c r="AV6" s="31" t="n">
        <v>16057</v>
      </c>
      <c r="AW6" s="40">
        <f>AV6/AU6</f>
        <v/>
      </c>
      <c r="AX6" s="41">
        <f>AW6*3.30578512</f>
        <v/>
      </c>
      <c r="AY6" s="11" t="n">
        <v>120</v>
      </c>
      <c r="AZ6" s="31" t="n">
        <v>1650</v>
      </c>
      <c r="BA6" s="40">
        <f>AZ6/AY6</f>
        <v/>
      </c>
      <c r="BB6" s="41">
        <f>BA6*3.30578512</f>
        <v/>
      </c>
      <c r="BC6" s="11" t="n">
        <v>0</v>
      </c>
      <c r="BD6" s="31" t="n">
        <v>0</v>
      </c>
      <c r="BE6" s="40">
        <f>BD6/BC6</f>
        <v/>
      </c>
      <c r="BF6" s="41">
        <f>BE6*3.30578512</f>
        <v/>
      </c>
      <c r="BG6" s="11" t="n">
        <v>173</v>
      </c>
      <c r="BH6" s="31" t="n">
        <v>5000</v>
      </c>
      <c r="BI6" s="40">
        <f>BH6/BG6</f>
        <v/>
      </c>
      <c r="BJ6" s="41">
        <f>BI6*3.30578512</f>
        <v/>
      </c>
    </row>
    <row r="7">
      <c r="B7" s="2" t="inlineStr">
        <is>
          <t>工場及び作業場</t>
        </is>
      </c>
      <c r="C7" s="11" t="n">
        <v>99563</v>
      </c>
      <c r="D7" s="31" t="n">
        <v>2195253</v>
      </c>
      <c r="E7" s="40">
        <f>D7/C7</f>
        <v/>
      </c>
      <c r="F7" s="41">
        <f>E7*3.30578512</f>
        <v/>
      </c>
      <c r="G7" s="11" t="n">
        <v>42149</v>
      </c>
      <c r="H7" s="31" t="n">
        <v>1962412</v>
      </c>
      <c r="I7" s="40">
        <f>H7/G7</f>
        <v/>
      </c>
      <c r="J7" s="41">
        <f>I7*3.30578512</f>
        <v/>
      </c>
      <c r="K7" s="11" t="n">
        <v>233702</v>
      </c>
      <c r="L7" s="31" t="n">
        <v>16079466</v>
      </c>
      <c r="M7" s="40">
        <f>L7/K7</f>
        <v/>
      </c>
      <c r="N7" s="41">
        <f>M7*3.30578512</f>
        <v/>
      </c>
      <c r="O7" s="11" t="n">
        <v>540</v>
      </c>
      <c r="P7" s="31" t="n">
        <v>10000</v>
      </c>
      <c r="Q7" s="40">
        <f>P7/O7</f>
        <v/>
      </c>
      <c r="R7" s="41">
        <f>Q7*3.30578512</f>
        <v/>
      </c>
      <c r="S7" s="11" t="n">
        <v>0</v>
      </c>
      <c r="T7" s="31" t="n">
        <v>0</v>
      </c>
      <c r="U7" s="40">
        <f>T7/S7</f>
        <v/>
      </c>
      <c r="V7" s="41">
        <f>U7*3.30578512</f>
        <v/>
      </c>
      <c r="W7" s="11" t="n">
        <v>779</v>
      </c>
      <c r="X7" s="31" t="n">
        <v>15879</v>
      </c>
      <c r="Y7" s="40">
        <f>X7/W7</f>
        <v/>
      </c>
      <c r="Z7" s="41">
        <f>Y7*3.30578512</f>
        <v/>
      </c>
      <c r="AA7" s="11" t="n">
        <v>0</v>
      </c>
      <c r="AB7" s="31" t="n">
        <v>0</v>
      </c>
      <c r="AC7" s="40">
        <f>AB7/AA7</f>
        <v/>
      </c>
      <c r="AD7" s="41">
        <f>AC7*3.30578512</f>
        <v/>
      </c>
      <c r="AE7" s="11" t="n">
        <v>22641</v>
      </c>
      <c r="AF7" s="31" t="n">
        <v>315800</v>
      </c>
      <c r="AG7" s="40">
        <f>AF7/AE7</f>
        <v/>
      </c>
      <c r="AH7" s="41">
        <f>AG7*3.30578512</f>
        <v/>
      </c>
      <c r="AI7" s="11" t="n">
        <v>0</v>
      </c>
      <c r="AJ7" s="31" t="n">
        <v>0</v>
      </c>
      <c r="AK7" s="40">
        <f>AJ7/AI7</f>
        <v/>
      </c>
      <c r="AL7" s="41">
        <f>AK7*3.30578512</f>
        <v/>
      </c>
      <c r="AM7" s="11" t="n">
        <v>10032</v>
      </c>
      <c r="AN7" s="31" t="n">
        <v>459980</v>
      </c>
      <c r="AO7" s="40">
        <f>AN7/AM7</f>
        <v/>
      </c>
      <c r="AP7" s="41">
        <f>AO7*3.30578512</f>
        <v/>
      </c>
      <c r="AQ7" s="11" t="n">
        <v>0</v>
      </c>
      <c r="AR7" s="31" t="n">
        <v>0</v>
      </c>
      <c r="AS7" s="40">
        <f>AR7/AQ7</f>
        <v/>
      </c>
      <c r="AT7" s="41">
        <f>AS7*3.30578512</f>
        <v/>
      </c>
      <c r="AU7" s="11" t="n">
        <v>39086</v>
      </c>
      <c r="AV7" s="31" t="n">
        <v>2340000</v>
      </c>
      <c r="AW7" s="40">
        <f>AV7/AU7</f>
        <v/>
      </c>
      <c r="AX7" s="41">
        <f>AW7*3.30578512</f>
        <v/>
      </c>
      <c r="AY7" s="11" t="n">
        <v>181</v>
      </c>
      <c r="AZ7" s="31" t="n">
        <v>6000</v>
      </c>
      <c r="BA7" s="40">
        <f>AZ7/AY7</f>
        <v/>
      </c>
      <c r="BB7" s="41">
        <f>BA7*3.30578512</f>
        <v/>
      </c>
      <c r="BC7" s="11" t="n">
        <v>0</v>
      </c>
      <c r="BD7" s="31" t="n">
        <v>0</v>
      </c>
      <c r="BE7" s="40">
        <f>BD7/BC7</f>
        <v/>
      </c>
      <c r="BF7" s="41">
        <f>BE7*3.30578512</f>
        <v/>
      </c>
      <c r="BG7" s="11" t="n">
        <v>1096</v>
      </c>
      <c r="BH7" s="31" t="n">
        <v>70000</v>
      </c>
      <c r="BI7" s="40">
        <f>BH7/BG7</f>
        <v/>
      </c>
      <c r="BJ7" s="41">
        <f>BI7*3.30578512</f>
        <v/>
      </c>
    </row>
    <row r="8">
      <c r="B8" s="2" t="inlineStr">
        <is>
          <t>倉庫</t>
        </is>
      </c>
      <c r="C8" s="11" t="n">
        <v>560842</v>
      </c>
      <c r="D8" s="31" t="n">
        <v>5842073</v>
      </c>
      <c r="E8" s="40">
        <f>D8/C8</f>
        <v/>
      </c>
      <c r="F8" s="41">
        <f>E8*3.30578512</f>
        <v/>
      </c>
      <c r="G8" s="11" t="n">
        <v>58534</v>
      </c>
      <c r="H8" s="31" t="n">
        <v>780080</v>
      </c>
      <c r="I8" s="40">
        <f>H8/G8</f>
        <v/>
      </c>
      <c r="J8" s="41">
        <f>I8*3.30578512</f>
        <v/>
      </c>
      <c r="K8" s="11" t="n">
        <v>485</v>
      </c>
      <c r="L8" s="31" t="n">
        <v>5600</v>
      </c>
      <c r="M8" s="40">
        <f>L8/K8</f>
        <v/>
      </c>
      <c r="N8" s="41">
        <f>M8*3.30578512</f>
        <v/>
      </c>
      <c r="O8" s="11" t="n">
        <v>73357</v>
      </c>
      <c r="P8" s="31" t="n">
        <v>1094000</v>
      </c>
      <c r="Q8" s="40">
        <f>P8/O8</f>
        <v/>
      </c>
      <c r="R8" s="41">
        <f>Q8*3.30578512</f>
        <v/>
      </c>
      <c r="S8" s="11" t="n">
        <v>25992</v>
      </c>
      <c r="T8" s="31" t="n">
        <v>350320</v>
      </c>
      <c r="U8" s="40">
        <f>T8/S8</f>
        <v/>
      </c>
      <c r="V8" s="41">
        <f>U8*3.30578512</f>
        <v/>
      </c>
      <c r="W8" s="11" t="n">
        <v>438</v>
      </c>
      <c r="X8" s="31" t="n">
        <v>4533</v>
      </c>
      <c r="Y8" s="40">
        <f>X8/W8</f>
        <v/>
      </c>
      <c r="Z8" s="41">
        <f>Y8*3.30578512</f>
        <v/>
      </c>
      <c r="AA8" s="11" t="n">
        <v>76510</v>
      </c>
      <c r="AB8" s="31" t="n">
        <v>1550000</v>
      </c>
      <c r="AC8" s="40">
        <f>AB8/AA8</f>
        <v/>
      </c>
      <c r="AD8" s="41">
        <f>AC8*3.30578512</f>
        <v/>
      </c>
      <c r="AE8" s="11" t="n">
        <v>72696</v>
      </c>
      <c r="AF8" s="31" t="n">
        <v>1100500</v>
      </c>
      <c r="AG8" s="40">
        <f>AF8/AE8</f>
        <v/>
      </c>
      <c r="AH8" s="41">
        <f>AG8*3.30578512</f>
        <v/>
      </c>
      <c r="AI8" s="11" t="n">
        <v>0</v>
      </c>
      <c r="AJ8" s="31" t="n">
        <v>0</v>
      </c>
      <c r="AK8" s="40">
        <f>AJ8/AI8</f>
        <v/>
      </c>
      <c r="AL8" s="41">
        <f>AK8*3.30578512</f>
        <v/>
      </c>
      <c r="AM8" s="11" t="n">
        <v>20271</v>
      </c>
      <c r="AN8" s="31" t="n">
        <v>500800</v>
      </c>
      <c r="AO8" s="40">
        <f>AN8/AM8</f>
        <v/>
      </c>
      <c r="AP8" s="41">
        <f>AO8*3.30578512</f>
        <v/>
      </c>
      <c r="AQ8" s="11" t="n">
        <v>55</v>
      </c>
      <c r="AR8" s="31" t="n">
        <v>600</v>
      </c>
      <c r="AS8" s="40">
        <f>AR8/AQ8</f>
        <v/>
      </c>
      <c r="AT8" s="41">
        <f>AS8*3.30578512</f>
        <v/>
      </c>
      <c r="AU8" s="11" t="n">
        <v>41165</v>
      </c>
      <c r="AV8" s="31" t="n">
        <v>1500630</v>
      </c>
      <c r="AW8" s="40">
        <f>AV8/AU8</f>
        <v/>
      </c>
      <c r="AX8" s="41">
        <f>AW8*3.30578512</f>
        <v/>
      </c>
      <c r="AY8" s="11" t="n">
        <v>438</v>
      </c>
      <c r="AZ8" s="31" t="n">
        <v>18000</v>
      </c>
      <c r="BA8" s="40">
        <f>AZ8/AY8</f>
        <v/>
      </c>
      <c r="BB8" s="41">
        <f>BA8*3.30578512</f>
        <v/>
      </c>
      <c r="BC8" s="11" t="n">
        <v>188</v>
      </c>
      <c r="BD8" s="31" t="n">
        <v>16950</v>
      </c>
      <c r="BE8" s="40">
        <f>BD8/BC8</f>
        <v/>
      </c>
      <c r="BF8" s="41">
        <f>BE8*3.30578512</f>
        <v/>
      </c>
      <c r="BG8" s="11" t="n">
        <v>387</v>
      </c>
      <c r="BH8" s="31" t="n">
        <v>12085</v>
      </c>
      <c r="BI8" s="40">
        <f>BH8/BG8</f>
        <v/>
      </c>
      <c r="BJ8" s="41">
        <f>BI8*3.30578512</f>
        <v/>
      </c>
    </row>
    <row r="9">
      <c r="B9" s="2" t="inlineStr">
        <is>
          <t>学校の校舎</t>
        </is>
      </c>
      <c r="C9" s="11" t="n">
        <v>266605</v>
      </c>
      <c r="D9" s="31" t="n">
        <v>8404400</v>
      </c>
      <c r="E9" s="40">
        <f>D9/C9</f>
        <v/>
      </c>
      <c r="F9" s="41">
        <f>E9*3.30578512</f>
        <v/>
      </c>
      <c r="G9" s="11" t="n">
        <v>31335</v>
      </c>
      <c r="H9" s="31" t="n">
        <v>1411293</v>
      </c>
      <c r="I9" s="40">
        <f>H9/G9</f>
        <v/>
      </c>
      <c r="J9" s="41">
        <f>I9*3.30578512</f>
        <v/>
      </c>
      <c r="K9" s="11" t="n">
        <v>7137</v>
      </c>
      <c r="L9" s="31" t="n">
        <v>235000</v>
      </c>
      <c r="M9" s="40">
        <f>L9/K9</f>
        <v/>
      </c>
      <c r="N9" s="41">
        <f>M9*3.30578512</f>
        <v/>
      </c>
      <c r="O9" s="11" t="n">
        <v>9146</v>
      </c>
      <c r="P9" s="31" t="n">
        <v>400000</v>
      </c>
      <c r="Q9" s="40">
        <f>P9/O9</f>
        <v/>
      </c>
      <c r="R9" s="41">
        <f>Q9*3.30578512</f>
        <v/>
      </c>
      <c r="S9" s="11" t="n">
        <v>13024</v>
      </c>
      <c r="T9" s="31" t="n">
        <v>403300</v>
      </c>
      <c r="U9" s="40">
        <f>T9/S9</f>
        <v/>
      </c>
      <c r="V9" s="41">
        <f>U9*3.30578512</f>
        <v/>
      </c>
      <c r="W9" s="11" t="n">
        <v>3518</v>
      </c>
      <c r="X9" s="31" t="n">
        <v>225292</v>
      </c>
      <c r="Y9" s="40">
        <f>X9/W9</f>
        <v/>
      </c>
      <c r="Z9" s="41">
        <f>Y9*3.30578512</f>
        <v/>
      </c>
      <c r="AA9" s="11" t="n">
        <v>3068</v>
      </c>
      <c r="AB9" s="31" t="n">
        <v>78000</v>
      </c>
      <c r="AC9" s="40">
        <f>AB9/AA9</f>
        <v/>
      </c>
      <c r="AD9" s="41">
        <f>AC9*3.30578512</f>
        <v/>
      </c>
      <c r="AE9" s="11" t="n">
        <v>8672</v>
      </c>
      <c r="AF9" s="31" t="n">
        <v>335000</v>
      </c>
      <c r="AG9" s="40">
        <f>AF9/AE9</f>
        <v/>
      </c>
      <c r="AH9" s="41">
        <f>AG9*3.30578512</f>
        <v/>
      </c>
      <c r="AI9" s="11" t="n">
        <v>15400</v>
      </c>
      <c r="AJ9" s="31" t="n">
        <v>859050</v>
      </c>
      <c r="AK9" s="40">
        <f>AJ9/AI9</f>
        <v/>
      </c>
      <c r="AL9" s="41">
        <f>AK9*3.30578512</f>
        <v/>
      </c>
      <c r="AM9" s="11" t="n">
        <v>15055</v>
      </c>
      <c r="AN9" s="31" t="n">
        <v>410000</v>
      </c>
      <c r="AO9" s="40">
        <f>AN9/AM9</f>
        <v/>
      </c>
      <c r="AP9" s="41">
        <f>AO9*3.30578512</f>
        <v/>
      </c>
      <c r="AQ9" s="11" t="n">
        <v>34043</v>
      </c>
      <c r="AR9" s="31" t="n">
        <v>1561518</v>
      </c>
      <c r="AS9" s="40">
        <f>AR9/AQ9</f>
        <v/>
      </c>
      <c r="AT9" s="41">
        <f>AS9*3.30578512</f>
        <v/>
      </c>
      <c r="AU9" s="11" t="n">
        <v>11391</v>
      </c>
      <c r="AV9" s="31" t="n">
        <v>786964</v>
      </c>
      <c r="AW9" s="40">
        <f>AV9/AU9</f>
        <v/>
      </c>
      <c r="AX9" s="41">
        <f>AW9*3.30578512</f>
        <v/>
      </c>
      <c r="AY9" s="11" t="n">
        <v>2491</v>
      </c>
      <c r="AZ9" s="31" t="n">
        <v>100000</v>
      </c>
      <c r="BA9" s="40">
        <f>AZ9/AY9</f>
        <v/>
      </c>
      <c r="BB9" s="41">
        <f>BA9*3.30578512</f>
        <v/>
      </c>
      <c r="BC9" s="11" t="n">
        <v>0</v>
      </c>
      <c r="BD9" s="31" t="n">
        <v>0</v>
      </c>
      <c r="BE9" s="40">
        <f>BD9/BC9</f>
        <v/>
      </c>
      <c r="BF9" s="41">
        <f>BE9*3.30578512</f>
        <v/>
      </c>
      <c r="BG9" s="11" t="n">
        <v>16153</v>
      </c>
      <c r="BH9" s="31" t="n">
        <v>560000</v>
      </c>
      <c r="BI9" s="40">
        <f>BH9/BG9</f>
        <v/>
      </c>
      <c r="BJ9" s="41">
        <f>BI9*3.30578512</f>
        <v/>
      </c>
    </row>
    <row r="10">
      <c r="B10" s="2" t="inlineStr">
        <is>
          <t>病院・診療所</t>
        </is>
      </c>
      <c r="C10" s="11" t="n">
        <v>314681</v>
      </c>
      <c r="D10" s="31" t="n">
        <v>7514820</v>
      </c>
      <c r="E10" s="40">
        <f>D10/C10</f>
        <v/>
      </c>
      <c r="F10" s="41">
        <f>E10*3.30578512</f>
        <v/>
      </c>
      <c r="G10" s="11" t="n">
        <v>7101</v>
      </c>
      <c r="H10" s="31" t="n">
        <v>250000</v>
      </c>
      <c r="I10" s="40">
        <f>H10/G10</f>
        <v/>
      </c>
      <c r="J10" s="41">
        <f>I10*3.30578512</f>
        <v/>
      </c>
      <c r="K10" s="11" t="n">
        <v>0</v>
      </c>
      <c r="L10" s="31" t="n">
        <v>0</v>
      </c>
      <c r="M10" s="40">
        <f>L10/K10</f>
        <v/>
      </c>
      <c r="N10" s="41">
        <f>M10*3.30578512</f>
        <v/>
      </c>
      <c r="O10" s="11" t="n">
        <v>0</v>
      </c>
      <c r="P10" s="31" t="n">
        <v>0</v>
      </c>
      <c r="Q10" s="40">
        <f>P10/O10</f>
        <v/>
      </c>
      <c r="R10" s="41">
        <f>Q10*3.30578512</f>
        <v/>
      </c>
      <c r="S10" s="11" t="n">
        <v>45264</v>
      </c>
      <c r="T10" s="31" t="n">
        <v>1927700</v>
      </c>
      <c r="U10" s="40">
        <f>T10/S10</f>
        <v/>
      </c>
      <c r="V10" s="41">
        <f>U10*3.30578512</f>
        <v/>
      </c>
      <c r="W10" s="11" t="n">
        <v>0</v>
      </c>
      <c r="X10" s="31" t="n">
        <v>0</v>
      </c>
      <c r="Y10" s="40">
        <f>X10/W10</f>
        <v/>
      </c>
      <c r="Z10" s="41">
        <f>Y10*3.30578512</f>
        <v/>
      </c>
      <c r="AA10" s="11" t="n">
        <v>1698</v>
      </c>
      <c r="AB10" s="31" t="n">
        <v>65000</v>
      </c>
      <c r="AC10" s="40">
        <f>AB10/AA10</f>
        <v/>
      </c>
      <c r="AD10" s="41">
        <f>AC10*3.30578512</f>
        <v/>
      </c>
      <c r="AE10" s="11" t="n">
        <v>233</v>
      </c>
      <c r="AF10" s="31" t="n">
        <v>100000</v>
      </c>
      <c r="AG10" s="40">
        <f>AF10/AE10</f>
        <v/>
      </c>
      <c r="AH10" s="41">
        <f>AG10*3.30578512</f>
        <v/>
      </c>
      <c r="AI10" s="11" t="n">
        <v>0</v>
      </c>
      <c r="AJ10" s="31" t="n">
        <v>0</v>
      </c>
      <c r="AK10" s="40">
        <f>AJ10/AI10</f>
        <v/>
      </c>
      <c r="AL10" s="41">
        <f>AK10*3.30578512</f>
        <v/>
      </c>
      <c r="AM10" s="11" t="n">
        <v>0</v>
      </c>
      <c r="AN10" s="31" t="n">
        <v>0</v>
      </c>
      <c r="AO10" s="40">
        <f>AN10/AM10</f>
        <v/>
      </c>
      <c r="AP10" s="41">
        <f>AO10*3.30578512</f>
        <v/>
      </c>
      <c r="AQ10" s="11" t="n">
        <v>0</v>
      </c>
      <c r="AR10" s="31" t="n">
        <v>0</v>
      </c>
      <c r="AS10" s="40">
        <f>AR10/AQ10</f>
        <v/>
      </c>
      <c r="AT10" s="41">
        <f>AS10*3.30578512</f>
        <v/>
      </c>
      <c r="AU10" s="11" t="n">
        <v>0</v>
      </c>
      <c r="AV10" s="31" t="n">
        <v>0</v>
      </c>
      <c r="AW10" s="40">
        <f>AV10/AU10</f>
        <v/>
      </c>
      <c r="AX10" s="41">
        <f>AW10*3.30578512</f>
        <v/>
      </c>
      <c r="AY10" s="11" t="n">
        <v>0</v>
      </c>
      <c r="AZ10" s="31" t="n">
        <v>0</v>
      </c>
      <c r="BA10" s="40">
        <f>AZ10/AY10</f>
        <v/>
      </c>
      <c r="BB10" s="41">
        <f>BA10*3.30578512</f>
        <v/>
      </c>
      <c r="BC10" s="11" t="n">
        <v>0</v>
      </c>
      <c r="BD10" s="31" t="n">
        <v>0</v>
      </c>
      <c r="BE10" s="40">
        <f>BD10/BC10</f>
        <v/>
      </c>
      <c r="BF10" s="41">
        <f>BE10*3.30578512</f>
        <v/>
      </c>
      <c r="BG10" s="11" t="n">
        <v>117</v>
      </c>
      <c r="BH10" s="31" t="n">
        <v>10000</v>
      </c>
      <c r="BI10" s="40">
        <f>BH10/BG10</f>
        <v/>
      </c>
      <c r="BJ10" s="41">
        <f>BI10*3.30578512</f>
        <v/>
      </c>
    </row>
    <row r="11" ht="18.6" customHeight="1" thickBot="1">
      <c r="B11" s="2" t="inlineStr">
        <is>
          <t>その他</t>
        </is>
      </c>
      <c r="C11" s="15" t="n">
        <v>507097</v>
      </c>
      <c r="D11" s="16" t="n">
        <v>17314472</v>
      </c>
      <c r="E11" s="42">
        <f>D11/C11</f>
        <v/>
      </c>
      <c r="F11" s="43">
        <f>E11*3.30578512</f>
        <v/>
      </c>
      <c r="G11" s="15" t="n">
        <v>50041</v>
      </c>
      <c r="H11" s="16" t="n">
        <v>2062198</v>
      </c>
      <c r="I11" s="42">
        <f>H11/G11</f>
        <v/>
      </c>
      <c r="J11" s="43">
        <f>I11*3.30578512</f>
        <v/>
      </c>
      <c r="K11" s="15" t="n">
        <v>8699</v>
      </c>
      <c r="L11" s="16" t="n">
        <v>257572</v>
      </c>
      <c r="M11" s="42">
        <f>L11/K11</f>
        <v/>
      </c>
      <c r="N11" s="43">
        <f>M11*3.30578512</f>
        <v/>
      </c>
      <c r="O11" s="15" t="n">
        <v>11687</v>
      </c>
      <c r="P11" s="16" t="n">
        <v>363695</v>
      </c>
      <c r="Q11" s="42">
        <f>P11/O11</f>
        <v/>
      </c>
      <c r="R11" s="43">
        <f>Q11*3.30578512</f>
        <v/>
      </c>
      <c r="S11" s="15" t="n">
        <v>29941</v>
      </c>
      <c r="T11" s="16" t="n">
        <v>1871775</v>
      </c>
      <c r="U11" s="42">
        <f>T11/S11</f>
        <v/>
      </c>
      <c r="V11" s="43">
        <f>U11*3.30578512</f>
        <v/>
      </c>
      <c r="W11" s="15" t="n">
        <v>9188</v>
      </c>
      <c r="X11" s="16" t="n">
        <v>483125</v>
      </c>
      <c r="Y11" s="42">
        <f>X11/W11</f>
        <v/>
      </c>
      <c r="Z11" s="43">
        <f>Y11*3.30578512</f>
        <v/>
      </c>
      <c r="AA11" s="15" t="n">
        <v>34727</v>
      </c>
      <c r="AB11" s="16" t="n">
        <v>1085909</v>
      </c>
      <c r="AC11" s="42">
        <f>AB11/AA11</f>
        <v/>
      </c>
      <c r="AD11" s="43">
        <f>AC11*3.30578512</f>
        <v/>
      </c>
      <c r="AE11" s="15" t="n">
        <v>4314</v>
      </c>
      <c r="AF11" s="16" t="n">
        <v>175486</v>
      </c>
      <c r="AG11" s="42">
        <f>AF11/AE11</f>
        <v/>
      </c>
      <c r="AH11" s="43">
        <f>AG11*3.30578512</f>
        <v/>
      </c>
      <c r="AI11" s="15" t="n">
        <v>12774</v>
      </c>
      <c r="AJ11" s="16" t="n">
        <v>936374</v>
      </c>
      <c r="AK11" s="42">
        <f>AJ11/AI11</f>
        <v/>
      </c>
      <c r="AL11" s="43">
        <f>AK11*3.30578512</f>
        <v/>
      </c>
      <c r="AM11" s="15" t="n">
        <v>1320</v>
      </c>
      <c r="AN11" s="16" t="n">
        <v>58144</v>
      </c>
      <c r="AO11" s="42">
        <f>AN11/AM11</f>
        <v/>
      </c>
      <c r="AP11" s="43">
        <f>AO11*3.30578512</f>
        <v/>
      </c>
      <c r="AQ11" s="15" t="n">
        <v>968</v>
      </c>
      <c r="AR11" s="16" t="n">
        <v>13963</v>
      </c>
      <c r="AS11" s="42">
        <f>AR11/AQ11</f>
        <v/>
      </c>
      <c r="AT11" s="43">
        <f>AS11*3.30578512</f>
        <v/>
      </c>
      <c r="AU11" s="15" t="n">
        <v>72472</v>
      </c>
      <c r="AV11" s="16" t="n">
        <v>7480770</v>
      </c>
      <c r="AW11" s="42">
        <f>AV11/AU11</f>
        <v/>
      </c>
      <c r="AX11" s="43">
        <f>AW11*3.30578512</f>
        <v/>
      </c>
      <c r="AY11" s="15" t="n">
        <v>125722</v>
      </c>
      <c r="AZ11" s="16" t="n">
        <v>12810713</v>
      </c>
      <c r="BA11" s="42">
        <f>AZ11/AY11</f>
        <v/>
      </c>
      <c r="BB11" s="43">
        <f>BA11*3.30578512</f>
        <v/>
      </c>
      <c r="BC11" s="15" t="n">
        <v>66242</v>
      </c>
      <c r="BD11" s="16" t="n">
        <v>4926065.96136</v>
      </c>
      <c r="BE11" s="42">
        <f>BD11/BC11</f>
        <v/>
      </c>
      <c r="BF11" s="43">
        <f>BE11*3.30578512</f>
        <v/>
      </c>
      <c r="BG11" s="15" t="n">
        <v>11749</v>
      </c>
      <c r="BH11" s="16" t="n">
        <v>267872</v>
      </c>
      <c r="BI11" s="42">
        <f>BH11/BG11</f>
        <v/>
      </c>
      <c r="BJ11" s="43">
        <f>BI11*3.30578512</f>
        <v/>
      </c>
    </row>
    <row r="12">
      <c r="BC12" s="44" t="n"/>
      <c r="BD12" s="44" t="n"/>
      <c r="BG12" s="44" t="n"/>
      <c r="BH12" s="4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selection activeCell="A1" sqref="A1"/>
    </sheetView>
  </sheetViews>
  <sheetFormatPr baseColWidth="8" defaultColWidth="8.69921875" defaultRowHeight="18"/>
  <cols>
    <col width="2.796875" customWidth="1" style="2" min="1" max="1"/>
    <col width="14.296875" bestFit="1" customWidth="1" style="2" min="2" max="2"/>
    <col width="11.59765625" customWidth="1" style="2" min="3" max="88"/>
    <col width="8.69921875" customWidth="1" style="2" min="89" max="16384"/>
  </cols>
  <sheetData>
    <row r="1" ht="19.8" customHeight="1">
      <c r="A1" s="1" t="inlineStr">
        <is>
          <t>鉄筋コンクリート造</t>
        </is>
      </c>
    </row>
    <row r="2" ht="20.4" customHeight="1" thickBot="1">
      <c r="A2" s="1" t="n"/>
    </row>
    <row r="3">
      <c r="C3" s="4" t="inlineStr">
        <is>
          <t>2015（基準）</t>
        </is>
      </c>
      <c r="D3" s="5" t="n"/>
      <c r="E3" s="5" t="n"/>
      <c r="F3" s="6" t="n"/>
      <c r="G3" s="4" t="inlineStr">
        <is>
          <t>令和4年2月分</t>
        </is>
      </c>
      <c r="H3" s="5" t="n"/>
      <c r="I3" s="5" t="n"/>
      <c r="J3" s="6" t="n"/>
      <c r="K3" s="4" t="inlineStr">
        <is>
          <t>令和4年5月分</t>
        </is>
      </c>
      <c r="L3" s="5" t="n"/>
      <c r="M3" s="5" t="n"/>
      <c r="N3" s="6" t="n"/>
      <c r="O3" s="4" t="inlineStr">
        <is>
          <t>令和4年8月分</t>
        </is>
      </c>
      <c r="P3" s="5" t="n"/>
      <c r="Q3" s="5" t="n"/>
      <c r="R3" s="6" t="n"/>
      <c r="S3" s="4" t="inlineStr">
        <is>
          <t>令和4年11月分</t>
        </is>
      </c>
      <c r="T3" s="5" t="n"/>
      <c r="U3" s="5" t="n"/>
      <c r="V3" s="6" t="n"/>
      <c r="W3" s="4" t="inlineStr">
        <is>
          <t>令和5年2月分</t>
        </is>
      </c>
      <c r="X3" s="5" t="n"/>
      <c r="Y3" s="5" t="n"/>
      <c r="Z3" s="6" t="n"/>
      <c r="AA3" s="4" t="inlineStr">
        <is>
          <t>令和5年5月分</t>
        </is>
      </c>
      <c r="AB3" s="5" t="n"/>
      <c r="AC3" s="5" t="n"/>
      <c r="AD3" s="6" t="n"/>
      <c r="AE3" s="4" t="inlineStr">
        <is>
          <t>令和5年8月分</t>
        </is>
      </c>
      <c r="AF3" s="5" t="n"/>
      <c r="AG3" s="5" t="n"/>
      <c r="AH3" s="6" t="n"/>
      <c r="AI3" s="4" t="inlineStr">
        <is>
          <t>令和5年11月分</t>
        </is>
      </c>
      <c r="AJ3" s="5" t="n"/>
      <c r="AK3" s="5" t="n"/>
      <c r="AL3" s="6" t="n"/>
      <c r="AM3" s="4" t="inlineStr">
        <is>
          <t>令和6年2月分</t>
        </is>
      </c>
      <c r="AN3" s="5" t="n"/>
      <c r="AO3" s="5" t="n"/>
      <c r="AP3" s="6" t="n"/>
      <c r="AQ3" s="4" t="inlineStr">
        <is>
          <t>令和6年5月分</t>
        </is>
      </c>
      <c r="AR3" s="5" t="n"/>
      <c r="AS3" s="5" t="n"/>
      <c r="AT3" s="6" t="n"/>
      <c r="AU3" s="4" t="inlineStr">
        <is>
          <t>令和6年8月分</t>
        </is>
      </c>
      <c r="AV3" s="5" t="n"/>
      <c r="AW3" s="5" t="n"/>
      <c r="AX3" s="6" t="n"/>
      <c r="AY3" s="4" t="inlineStr">
        <is>
          <t>令和6年11月分</t>
        </is>
      </c>
      <c r="AZ3" s="5" t="n"/>
      <c r="BA3" s="5" t="n"/>
      <c r="BB3" s="6" t="n"/>
      <c r="BC3" s="4" t="inlineStr">
        <is>
          <t>令和7年2月分</t>
        </is>
      </c>
      <c r="BD3" s="5" t="n"/>
      <c r="BE3" s="5" t="n"/>
      <c r="BF3" s="6" t="n"/>
      <c r="BG3" s="4" t="inlineStr">
        <is>
          <t>令和7年5月分</t>
        </is>
      </c>
      <c r="BH3" s="5" t="n"/>
      <c r="BI3" s="5" t="n"/>
      <c r="BJ3" s="6" t="n"/>
    </row>
    <row r="4" ht="45" customHeight="1">
      <c r="C4" s="7" t="inlineStr">
        <is>
          <t>床面積の合計　（㎡）</t>
        </is>
      </c>
      <c r="D4" s="8" t="inlineStr">
        <is>
          <t>工事費予定額（万円）</t>
        </is>
      </c>
      <c r="E4" s="9" t="inlineStr">
        <is>
          <t>面積単価
（万円/㎡）</t>
        </is>
      </c>
      <c r="F4" s="10" t="inlineStr">
        <is>
          <t>面積単価
（万円/坪）</t>
        </is>
      </c>
      <c r="G4" s="7" t="inlineStr">
        <is>
          <t>床面積の合計　（㎡）</t>
        </is>
      </c>
      <c r="H4" s="8" t="inlineStr">
        <is>
          <t>工事費予定額（万円）</t>
        </is>
      </c>
      <c r="I4" s="9" t="inlineStr">
        <is>
          <t>面積単価
（万円/㎡）</t>
        </is>
      </c>
      <c r="J4" s="10" t="inlineStr">
        <is>
          <t>面積単価
（万円/坪）</t>
        </is>
      </c>
      <c r="K4" s="7" t="inlineStr">
        <is>
          <t>床面積の合計　（㎡）</t>
        </is>
      </c>
      <c r="L4" s="8" t="inlineStr">
        <is>
          <t>工事費予定額（万円）</t>
        </is>
      </c>
      <c r="M4" s="9" t="inlineStr">
        <is>
          <t>面積単価
（万円/㎡）</t>
        </is>
      </c>
      <c r="N4" s="10" t="inlineStr">
        <is>
          <t>面積単価
（万円/坪）</t>
        </is>
      </c>
      <c r="O4" s="7" t="inlineStr">
        <is>
          <t>床面積の合計　（㎡）</t>
        </is>
      </c>
      <c r="P4" s="8" t="inlineStr">
        <is>
          <t>工事費予定額（万円）</t>
        </is>
      </c>
      <c r="Q4" s="9" t="inlineStr">
        <is>
          <t>面積単価
（万円/㎡）</t>
        </is>
      </c>
      <c r="R4" s="10" t="inlineStr">
        <is>
          <t>面積単価
（万円/坪）</t>
        </is>
      </c>
      <c r="S4" s="7" t="inlineStr">
        <is>
          <t>床面積の合計　（㎡）</t>
        </is>
      </c>
      <c r="T4" s="8" t="inlineStr">
        <is>
          <t>工事費予定額（万円）</t>
        </is>
      </c>
      <c r="U4" s="9" t="inlineStr">
        <is>
          <t>面積単価
（万円/㎡）</t>
        </is>
      </c>
      <c r="V4" s="10" t="inlineStr">
        <is>
          <t>面積単価
（万円/坪）</t>
        </is>
      </c>
      <c r="W4" s="7" t="inlineStr">
        <is>
          <t>床面積の合計　（㎡）</t>
        </is>
      </c>
      <c r="X4" s="8" t="inlineStr">
        <is>
          <t>工事費予定額（万円）</t>
        </is>
      </c>
      <c r="Y4" s="9" t="inlineStr">
        <is>
          <t>面積単価
（万円/㎡）</t>
        </is>
      </c>
      <c r="Z4" s="10" t="inlineStr">
        <is>
          <t>面積単価
（万円/坪）</t>
        </is>
      </c>
      <c r="AA4" s="7" t="inlineStr">
        <is>
          <t>床面積の合計　（㎡）</t>
        </is>
      </c>
      <c r="AB4" s="8" t="inlineStr">
        <is>
          <t>工事費予定額（万円）</t>
        </is>
      </c>
      <c r="AC4" s="9" t="inlineStr">
        <is>
          <t>面積単価
（万円/㎡）</t>
        </is>
      </c>
      <c r="AD4" s="10" t="inlineStr">
        <is>
          <t>面積単価
（万円/坪）</t>
        </is>
      </c>
      <c r="AE4" s="7" t="inlineStr">
        <is>
          <t>床面積の合計　（㎡）</t>
        </is>
      </c>
      <c r="AF4" s="8" t="inlineStr">
        <is>
          <t>工事費予定額（万円）</t>
        </is>
      </c>
      <c r="AG4" s="9" t="inlineStr">
        <is>
          <t>面積単価
（万円/㎡）</t>
        </is>
      </c>
      <c r="AH4" s="10" t="inlineStr">
        <is>
          <t>面積単価
（万円/坪）</t>
        </is>
      </c>
      <c r="AI4" s="7" t="inlineStr">
        <is>
          <t>床面積の合計　（㎡）</t>
        </is>
      </c>
      <c r="AJ4" s="8" t="inlineStr">
        <is>
          <t>工事費予定額（万円）</t>
        </is>
      </c>
      <c r="AK4" s="9" t="inlineStr">
        <is>
          <t>面積単価
（万円/㎡）</t>
        </is>
      </c>
      <c r="AL4" s="10" t="inlineStr">
        <is>
          <t>面積単価
（万円/坪）</t>
        </is>
      </c>
      <c r="AM4" s="7" t="inlineStr">
        <is>
          <t>床面積の合計　（㎡）</t>
        </is>
      </c>
      <c r="AN4" s="8" t="inlineStr">
        <is>
          <t>工事費予定額（万円）</t>
        </is>
      </c>
      <c r="AO4" s="9" t="inlineStr">
        <is>
          <t>面積単価
（万円/㎡）</t>
        </is>
      </c>
      <c r="AP4" s="10" t="inlineStr">
        <is>
          <t>面積単価
（万円/坪）</t>
        </is>
      </c>
      <c r="AQ4" s="7" t="inlineStr">
        <is>
          <t>床面積の合計　（㎡）</t>
        </is>
      </c>
      <c r="AR4" s="8" t="inlineStr">
        <is>
          <t>工事費予定額（万円）</t>
        </is>
      </c>
      <c r="AS4" s="9" t="inlineStr">
        <is>
          <t>面積単価
（万円/㎡）</t>
        </is>
      </c>
      <c r="AT4" s="10" t="inlineStr">
        <is>
          <t>面積単価
（万円/坪）</t>
        </is>
      </c>
      <c r="AU4" s="7" t="inlineStr">
        <is>
          <t>床面積の合計　（㎡）</t>
        </is>
      </c>
      <c r="AV4" s="8" t="inlineStr">
        <is>
          <t>工事費予定額（万円）</t>
        </is>
      </c>
      <c r="AW4" s="9" t="inlineStr">
        <is>
          <t>面積単価
（万円/㎡）</t>
        </is>
      </c>
      <c r="AX4" s="10" t="inlineStr">
        <is>
          <t>面積単価
（万円/坪）</t>
        </is>
      </c>
      <c r="AY4" s="7" t="inlineStr">
        <is>
          <t>床面積の合計　（㎡）</t>
        </is>
      </c>
      <c r="AZ4" s="8" t="inlineStr">
        <is>
          <t>工事費予定額（万円）</t>
        </is>
      </c>
      <c r="BA4" s="9" t="inlineStr">
        <is>
          <t>面積単価
（万円/㎡）</t>
        </is>
      </c>
      <c r="BB4" s="10" t="inlineStr">
        <is>
          <t>面積単価
（万円/坪）</t>
        </is>
      </c>
      <c r="BC4" s="7" t="inlineStr">
        <is>
          <t>床面積の合計　（㎡）</t>
        </is>
      </c>
      <c r="BD4" s="8" t="inlineStr">
        <is>
          <t>工事費予定額（万円）</t>
        </is>
      </c>
      <c r="BE4" s="9" t="inlineStr">
        <is>
          <t>面積単価
（万円/㎡）</t>
        </is>
      </c>
      <c r="BF4" s="10" t="inlineStr">
        <is>
          <t>面積単価
（万円/坪）</t>
        </is>
      </c>
      <c r="BG4" s="7" t="inlineStr">
        <is>
          <t>床面積の合計　（㎡）</t>
        </is>
      </c>
      <c r="BH4" s="8" t="inlineStr">
        <is>
          <t>工事費予定額（万円）</t>
        </is>
      </c>
      <c r="BI4" s="9" t="inlineStr">
        <is>
          <t>面積単価
（万円/㎡）</t>
        </is>
      </c>
      <c r="BJ4" s="10" t="inlineStr">
        <is>
          <t>面積単価
（万円/坪）</t>
        </is>
      </c>
    </row>
    <row r="5">
      <c r="B5" s="2" t="inlineStr">
        <is>
          <t>事務所</t>
        </is>
      </c>
      <c r="C5" s="11" t="n">
        <v>673470</v>
      </c>
      <c r="D5" s="31" t="n">
        <v>21399499</v>
      </c>
      <c r="E5" s="40">
        <f>D5/C5</f>
        <v/>
      </c>
      <c r="F5" s="41">
        <f>E5*3.30578512</f>
        <v/>
      </c>
      <c r="G5" s="11" t="n">
        <v>32466</v>
      </c>
      <c r="H5" s="31" t="n">
        <v>1049125</v>
      </c>
      <c r="I5" s="40">
        <f>H5/G5</f>
        <v/>
      </c>
      <c r="J5" s="41">
        <f>I5*3.30578512</f>
        <v/>
      </c>
      <c r="K5" s="11" t="n">
        <v>79603</v>
      </c>
      <c r="L5" s="31" t="n">
        <v>3510950</v>
      </c>
      <c r="M5" s="40">
        <f>L5/K5</f>
        <v/>
      </c>
      <c r="N5" s="41">
        <f>M5*3.30578512</f>
        <v/>
      </c>
      <c r="O5" s="11" t="n">
        <v>57126</v>
      </c>
      <c r="P5" s="31" t="n">
        <v>2171051</v>
      </c>
      <c r="Q5" s="40">
        <f>P5/O5</f>
        <v/>
      </c>
      <c r="R5" s="41">
        <f>Q5*3.30578512</f>
        <v/>
      </c>
      <c r="S5" s="11" t="n">
        <v>45541</v>
      </c>
      <c r="T5" s="31" t="n">
        <v>1919944</v>
      </c>
      <c r="U5" s="40">
        <f>T5/S5</f>
        <v/>
      </c>
      <c r="V5" s="41">
        <f>U5*3.30578512</f>
        <v/>
      </c>
      <c r="W5" s="11" t="n">
        <v>55883</v>
      </c>
      <c r="X5" s="31" t="n">
        <v>2392358</v>
      </c>
      <c r="Y5" s="40">
        <f>X5/W5</f>
        <v/>
      </c>
      <c r="Z5" s="41">
        <f>Y5*3.30578512</f>
        <v/>
      </c>
      <c r="AA5" s="11" t="n">
        <v>53575</v>
      </c>
      <c r="AB5" s="31" t="n">
        <v>2353715</v>
      </c>
      <c r="AC5" s="40">
        <f>AB5/AA5</f>
        <v/>
      </c>
      <c r="AD5" s="41">
        <f>AC5*3.30578512</f>
        <v/>
      </c>
      <c r="AE5" s="11" t="n">
        <v>40073</v>
      </c>
      <c r="AF5" s="31" t="n">
        <v>2134117</v>
      </c>
      <c r="AG5" s="40">
        <f>AF5/AE5</f>
        <v/>
      </c>
      <c r="AH5" s="41">
        <f>AG5*3.30578512</f>
        <v/>
      </c>
      <c r="AI5" s="11" t="n">
        <v>39643</v>
      </c>
      <c r="AJ5" s="31" t="n">
        <v>2271769</v>
      </c>
      <c r="AK5" s="40">
        <f>AJ5/AI5</f>
        <v/>
      </c>
      <c r="AL5" s="41">
        <f>AK5*3.30578512</f>
        <v/>
      </c>
      <c r="AM5" s="11" t="n">
        <v>20929</v>
      </c>
      <c r="AN5" s="31" t="n">
        <v>1282400</v>
      </c>
      <c r="AO5" s="40">
        <f>AN5/AM5</f>
        <v/>
      </c>
      <c r="AP5" s="41">
        <f>AO5*3.30578512</f>
        <v/>
      </c>
      <c r="AQ5" s="11" t="n">
        <v>35108</v>
      </c>
      <c r="AR5" s="31" t="n">
        <v>1791375</v>
      </c>
      <c r="AS5" s="40">
        <f>AR5/AQ5</f>
        <v/>
      </c>
      <c r="AT5" s="41">
        <f>AS5*3.30578512</f>
        <v/>
      </c>
      <c r="AU5" s="11" t="n">
        <v>21870</v>
      </c>
      <c r="AV5" s="31" t="n">
        <v>1267345</v>
      </c>
      <c r="AW5" s="40">
        <f>AV5/AU5</f>
        <v/>
      </c>
      <c r="AX5" s="41">
        <f>AW5*3.30578512</f>
        <v/>
      </c>
      <c r="AY5" s="11" t="n">
        <v>76901</v>
      </c>
      <c r="AZ5" s="31" t="n">
        <v>5281615</v>
      </c>
      <c r="BA5" s="40">
        <f>AZ5/AY5</f>
        <v/>
      </c>
      <c r="BB5" s="41">
        <f>BA5*3.30578512</f>
        <v/>
      </c>
      <c r="BC5" s="11" t="n">
        <v>76113</v>
      </c>
      <c r="BD5" s="31" t="n">
        <v>4479190.79035</v>
      </c>
      <c r="BE5" s="40">
        <f>BD5/BC5</f>
        <v/>
      </c>
      <c r="BF5" s="41">
        <f>BE5*3.30578512</f>
        <v/>
      </c>
      <c r="BG5" s="11" t="n">
        <v>47106</v>
      </c>
      <c r="BH5" s="31" t="n">
        <v>1677680.3635</v>
      </c>
      <c r="BI5" s="40">
        <f>BH5/BG5</f>
        <v/>
      </c>
      <c r="BJ5" s="41">
        <f>BI5*3.30578512</f>
        <v/>
      </c>
    </row>
    <row r="6">
      <c r="B6" s="2" t="inlineStr">
        <is>
          <t>店舗</t>
        </is>
      </c>
      <c r="C6" s="11" t="n">
        <v>72357</v>
      </c>
      <c r="D6" s="31" t="n">
        <v>1758084</v>
      </c>
      <c r="E6" s="40">
        <f>D6/C6</f>
        <v/>
      </c>
      <c r="F6" s="41">
        <f>E6*3.30578512</f>
        <v/>
      </c>
      <c r="G6" s="11" t="n">
        <v>27939</v>
      </c>
      <c r="H6" s="31" t="n">
        <v>779947</v>
      </c>
      <c r="I6" s="40">
        <f>H6/G6</f>
        <v/>
      </c>
      <c r="J6" s="41">
        <f>I6*3.30578512</f>
        <v/>
      </c>
      <c r="K6" s="11" t="n">
        <v>23904</v>
      </c>
      <c r="L6" s="31" t="n">
        <v>951091</v>
      </c>
      <c r="M6" s="40">
        <f>L6/K6</f>
        <v/>
      </c>
      <c r="N6" s="41">
        <f>M6*3.30578512</f>
        <v/>
      </c>
      <c r="O6" s="11" t="n">
        <v>10431</v>
      </c>
      <c r="P6" s="31" t="n">
        <v>262239</v>
      </c>
      <c r="Q6" s="40">
        <f>P6/O6</f>
        <v/>
      </c>
      <c r="R6" s="41">
        <f>Q6*3.30578512</f>
        <v/>
      </c>
      <c r="S6" s="11" t="n">
        <v>1536</v>
      </c>
      <c r="T6" s="31" t="n">
        <v>47894</v>
      </c>
      <c r="U6" s="40">
        <f>T6/S6</f>
        <v/>
      </c>
      <c r="V6" s="41">
        <f>U6*3.30578512</f>
        <v/>
      </c>
      <c r="W6" s="11" t="n">
        <v>6306</v>
      </c>
      <c r="X6" s="31" t="n">
        <v>215418</v>
      </c>
      <c r="Y6" s="40">
        <f>X6/W6</f>
        <v/>
      </c>
      <c r="Z6" s="41">
        <f>Y6*3.30578512</f>
        <v/>
      </c>
      <c r="AA6" s="11" t="n">
        <v>5822</v>
      </c>
      <c r="AB6" s="31" t="n">
        <v>179220</v>
      </c>
      <c r="AC6" s="40">
        <f>AB6/AA6</f>
        <v/>
      </c>
      <c r="AD6" s="41">
        <f>AC6*3.30578512</f>
        <v/>
      </c>
      <c r="AE6" s="11" t="n">
        <v>8806</v>
      </c>
      <c r="AF6" s="31" t="n">
        <v>377134</v>
      </c>
      <c r="AG6" s="40">
        <f>AF6/AE6</f>
        <v/>
      </c>
      <c r="AH6" s="41">
        <f>AG6*3.30578512</f>
        <v/>
      </c>
      <c r="AI6" s="11" t="n">
        <v>1430</v>
      </c>
      <c r="AJ6" s="31" t="n">
        <v>71400</v>
      </c>
      <c r="AK6" s="40">
        <f>AJ6/AI6</f>
        <v/>
      </c>
      <c r="AL6" s="41">
        <f>AK6*3.30578512</f>
        <v/>
      </c>
      <c r="AM6" s="11" t="n">
        <v>5235</v>
      </c>
      <c r="AN6" s="31" t="n">
        <v>321235</v>
      </c>
      <c r="AO6" s="40">
        <f>AN6/AM6</f>
        <v/>
      </c>
      <c r="AP6" s="41">
        <f>AO6*3.30578512</f>
        <v/>
      </c>
      <c r="AQ6" s="11" t="n">
        <v>32529</v>
      </c>
      <c r="AR6" s="31" t="n">
        <v>864522</v>
      </c>
      <c r="AS6" s="40">
        <f>AR6/AQ6</f>
        <v/>
      </c>
      <c r="AT6" s="41">
        <f>AS6*3.30578512</f>
        <v/>
      </c>
      <c r="AU6" s="11" t="n">
        <v>1537</v>
      </c>
      <c r="AV6" s="31" t="n">
        <v>157000</v>
      </c>
      <c r="AW6" s="40">
        <f>AV6/AU6</f>
        <v/>
      </c>
      <c r="AX6" s="41">
        <f>AW6*3.30578512</f>
        <v/>
      </c>
      <c r="AY6" s="11" t="n">
        <v>4645</v>
      </c>
      <c r="AZ6" s="31" t="n">
        <v>250910</v>
      </c>
      <c r="BA6" s="40">
        <f>AZ6/AY6</f>
        <v/>
      </c>
      <c r="BB6" s="41">
        <f>BA6*3.30578512</f>
        <v/>
      </c>
      <c r="BC6" s="11" t="n">
        <v>7686</v>
      </c>
      <c r="BD6" s="31" t="n">
        <v>363662.17517</v>
      </c>
      <c r="BE6" s="40">
        <f>BD6/BC6</f>
        <v/>
      </c>
      <c r="BF6" s="41">
        <f>BE6*3.30578512</f>
        <v/>
      </c>
      <c r="BG6" s="11" t="n">
        <v>12462</v>
      </c>
      <c r="BH6" s="31" t="n">
        <v>685329.04634</v>
      </c>
      <c r="BI6" s="40">
        <f>BH6/BG6</f>
        <v/>
      </c>
      <c r="BJ6" s="41">
        <f>BI6*3.30578512</f>
        <v/>
      </c>
    </row>
    <row r="7">
      <c r="B7" s="2" t="inlineStr">
        <is>
          <t>工場及び作業場</t>
        </is>
      </c>
      <c r="C7" s="11" t="n">
        <v>229990</v>
      </c>
      <c r="D7" s="31" t="n">
        <v>5185075</v>
      </c>
      <c r="E7" s="40">
        <f>D7/C7</f>
        <v/>
      </c>
      <c r="F7" s="41">
        <f>E7*3.30578512</f>
        <v/>
      </c>
      <c r="G7" s="11" t="n">
        <v>10490</v>
      </c>
      <c r="H7" s="31" t="n">
        <v>93064</v>
      </c>
      <c r="I7" s="40">
        <f>H7/G7</f>
        <v/>
      </c>
      <c r="J7" s="41">
        <f>I7*3.30578512</f>
        <v/>
      </c>
      <c r="K7" s="11" t="n">
        <v>24994</v>
      </c>
      <c r="L7" s="31" t="n">
        <v>485825</v>
      </c>
      <c r="M7" s="40">
        <f>L7/K7</f>
        <v/>
      </c>
      <c r="N7" s="41">
        <f>M7*3.30578512</f>
        <v/>
      </c>
      <c r="O7" s="11" t="n">
        <v>22450</v>
      </c>
      <c r="P7" s="31" t="n">
        <v>1435629</v>
      </c>
      <c r="Q7" s="40">
        <f>P7/O7</f>
        <v/>
      </c>
      <c r="R7" s="41">
        <f>Q7*3.30578512</f>
        <v/>
      </c>
      <c r="S7" s="11" t="n">
        <v>8420</v>
      </c>
      <c r="T7" s="31" t="n">
        <v>176370</v>
      </c>
      <c r="U7" s="40">
        <f>T7/S7</f>
        <v/>
      </c>
      <c r="V7" s="41">
        <f>U7*3.30578512</f>
        <v/>
      </c>
      <c r="W7" s="11" t="n">
        <v>107226</v>
      </c>
      <c r="X7" s="31" t="n">
        <v>2452202</v>
      </c>
      <c r="Y7" s="40">
        <f>X7/W7</f>
        <v/>
      </c>
      <c r="Z7" s="41">
        <f>Y7*3.30578512</f>
        <v/>
      </c>
      <c r="AA7" s="11" t="n">
        <v>14417</v>
      </c>
      <c r="AB7" s="31" t="n">
        <v>952900</v>
      </c>
      <c r="AC7" s="40">
        <f>AB7/AA7</f>
        <v/>
      </c>
      <c r="AD7" s="41">
        <f>AC7*3.30578512</f>
        <v/>
      </c>
      <c r="AE7" s="11" t="n">
        <v>1056</v>
      </c>
      <c r="AF7" s="31" t="n">
        <v>63500</v>
      </c>
      <c r="AG7" s="40">
        <f>AF7/AE7</f>
        <v/>
      </c>
      <c r="AH7" s="41">
        <f>AG7*3.30578512</f>
        <v/>
      </c>
      <c r="AI7" s="11" t="n">
        <v>380</v>
      </c>
      <c r="AJ7" s="31" t="n">
        <v>57440</v>
      </c>
      <c r="AK7" s="40">
        <f>AJ7/AI7</f>
        <v/>
      </c>
      <c r="AL7" s="41">
        <f>AK7*3.30578512</f>
        <v/>
      </c>
      <c r="AM7" s="11" t="n">
        <v>4600</v>
      </c>
      <c r="AN7" s="31" t="n">
        <v>115328</v>
      </c>
      <c r="AO7" s="40">
        <f>AN7/AM7</f>
        <v/>
      </c>
      <c r="AP7" s="41">
        <f>AO7*3.30578512</f>
        <v/>
      </c>
      <c r="AQ7" s="11" t="n">
        <v>6481</v>
      </c>
      <c r="AR7" s="31" t="n">
        <v>245050</v>
      </c>
      <c r="AS7" s="40">
        <f>AR7/AQ7</f>
        <v/>
      </c>
      <c r="AT7" s="41">
        <f>AS7*3.30578512</f>
        <v/>
      </c>
      <c r="AU7" s="11" t="n">
        <v>75089</v>
      </c>
      <c r="AV7" s="31" t="n">
        <v>2969080</v>
      </c>
      <c r="AW7" s="40">
        <f>AV7/AU7</f>
        <v/>
      </c>
      <c r="AX7" s="41">
        <f>AW7*3.30578512</f>
        <v/>
      </c>
      <c r="AY7" s="11" t="n">
        <v>7039</v>
      </c>
      <c r="AZ7" s="31" t="n">
        <v>190150</v>
      </c>
      <c r="BA7" s="40">
        <f>AZ7/AY7</f>
        <v/>
      </c>
      <c r="BB7" s="41">
        <f>BA7*3.30578512</f>
        <v/>
      </c>
      <c r="BC7" s="11" t="n">
        <v>11647</v>
      </c>
      <c r="BD7" s="31" t="n">
        <v>985376</v>
      </c>
      <c r="BE7" s="40">
        <f>BD7/BC7</f>
        <v/>
      </c>
      <c r="BF7" s="41">
        <f>BE7*3.30578512</f>
        <v/>
      </c>
      <c r="BG7" s="11" t="n">
        <v>6591</v>
      </c>
      <c r="BH7" s="31" t="n">
        <v>594050</v>
      </c>
      <c r="BI7" s="40">
        <f>BH7/BG7</f>
        <v/>
      </c>
      <c r="BJ7" s="41">
        <f>BI7*3.30578512</f>
        <v/>
      </c>
    </row>
    <row r="8">
      <c r="B8" s="2" t="inlineStr">
        <is>
          <t>倉庫</t>
        </is>
      </c>
      <c r="C8" s="11" t="n">
        <v>1031373</v>
      </c>
      <c r="D8" s="31" t="n">
        <v>13384389</v>
      </c>
      <c r="E8" s="40">
        <f>D8/C8</f>
        <v/>
      </c>
      <c r="F8" s="41">
        <f>E8*3.30578512</f>
        <v/>
      </c>
      <c r="G8" s="11" t="n">
        <v>382289</v>
      </c>
      <c r="H8" s="31" t="n">
        <v>4603680</v>
      </c>
      <c r="I8" s="40">
        <f>H8/G8</f>
        <v/>
      </c>
      <c r="J8" s="41">
        <f>I8*3.30578512</f>
        <v/>
      </c>
      <c r="K8" s="11" t="n">
        <v>273698</v>
      </c>
      <c r="L8" s="31" t="n">
        <v>2918396</v>
      </c>
      <c r="M8" s="40">
        <f>L8/K8</f>
        <v/>
      </c>
      <c r="N8" s="41">
        <f>M8*3.30578512</f>
        <v/>
      </c>
      <c r="O8" s="11" t="n">
        <v>458673</v>
      </c>
      <c r="P8" s="31" t="n">
        <v>6841976</v>
      </c>
      <c r="Q8" s="40">
        <f>P8/O8</f>
        <v/>
      </c>
      <c r="R8" s="41">
        <f>Q8*3.30578512</f>
        <v/>
      </c>
      <c r="S8" s="11" t="n">
        <v>1171</v>
      </c>
      <c r="T8" s="31" t="n">
        <v>41750</v>
      </c>
      <c r="U8" s="40">
        <f>T8/S8</f>
        <v/>
      </c>
      <c r="V8" s="41">
        <f>U8*3.30578512</f>
        <v/>
      </c>
      <c r="W8" s="11" t="n">
        <v>226910</v>
      </c>
      <c r="X8" s="31" t="n">
        <v>3484438</v>
      </c>
      <c r="Y8" s="40">
        <f>X8/W8</f>
        <v/>
      </c>
      <c r="Z8" s="41">
        <f>Y8*3.30578512</f>
        <v/>
      </c>
      <c r="AA8" s="11" t="n">
        <v>208410</v>
      </c>
      <c r="AB8" s="31" t="n">
        <v>2703090</v>
      </c>
      <c r="AC8" s="40">
        <f>AB8/AA8</f>
        <v/>
      </c>
      <c r="AD8" s="41">
        <f>AC8*3.30578512</f>
        <v/>
      </c>
      <c r="AE8" s="11" t="n">
        <v>565298</v>
      </c>
      <c r="AF8" s="31" t="n">
        <v>9002018</v>
      </c>
      <c r="AG8" s="40">
        <f>AF8/AE8</f>
        <v/>
      </c>
      <c r="AH8" s="41">
        <f>AG8*3.30578512</f>
        <v/>
      </c>
      <c r="AI8" s="11" t="n">
        <v>428385</v>
      </c>
      <c r="AJ8" s="31" t="n">
        <v>7280600</v>
      </c>
      <c r="AK8" s="40">
        <f>AJ8/AI8</f>
        <v/>
      </c>
      <c r="AL8" s="41">
        <f>AK8*3.30578512</f>
        <v/>
      </c>
      <c r="AM8" s="11" t="n">
        <v>266570</v>
      </c>
      <c r="AN8" s="31" t="n">
        <v>6278887</v>
      </c>
      <c r="AO8" s="40">
        <f>AN8/AM8</f>
        <v/>
      </c>
      <c r="AP8" s="41">
        <f>AO8*3.30578512</f>
        <v/>
      </c>
      <c r="AQ8" s="11" t="n">
        <v>72900</v>
      </c>
      <c r="AR8" s="31" t="n">
        <v>1278061</v>
      </c>
      <c r="AS8" s="40">
        <f>AR8/AQ8</f>
        <v/>
      </c>
      <c r="AT8" s="41">
        <f>AS8*3.30578512</f>
        <v/>
      </c>
      <c r="AU8" s="11" t="n">
        <v>67268</v>
      </c>
      <c r="AV8" s="31" t="n">
        <v>1471680</v>
      </c>
      <c r="AW8" s="40">
        <f>AV8/AU8</f>
        <v/>
      </c>
      <c r="AX8" s="41">
        <f>AW8*3.30578512</f>
        <v/>
      </c>
      <c r="AY8" s="11" t="n">
        <v>98948</v>
      </c>
      <c r="AZ8" s="31" t="n">
        <v>2231733</v>
      </c>
      <c r="BA8" s="40">
        <f>AZ8/AY8</f>
        <v/>
      </c>
      <c r="BB8" s="41">
        <f>BA8*3.30578512</f>
        <v/>
      </c>
      <c r="BC8" s="11" t="n">
        <v>526019</v>
      </c>
      <c r="BD8" s="31" t="n">
        <v>10420454.38193</v>
      </c>
      <c r="BE8" s="40">
        <f>BD8/BC8</f>
        <v/>
      </c>
      <c r="BF8" s="41">
        <f>BE8*3.30578512</f>
        <v/>
      </c>
      <c r="BG8" s="11" t="n">
        <v>701489</v>
      </c>
      <c r="BH8" s="31" t="n">
        <v>17963969.31319</v>
      </c>
      <c r="BI8" s="40">
        <f>BH8/BG8</f>
        <v/>
      </c>
      <c r="BJ8" s="41">
        <f>BI8*3.30578512</f>
        <v/>
      </c>
    </row>
    <row r="9">
      <c r="B9" s="2" t="inlineStr">
        <is>
          <t>学校の校舎</t>
        </is>
      </c>
      <c r="C9" s="11" t="n">
        <v>1835193</v>
      </c>
      <c r="D9" s="31" t="n">
        <v>50330867</v>
      </c>
      <c r="E9" s="40">
        <f>D9/C9</f>
        <v/>
      </c>
      <c r="F9" s="41">
        <f>E9*3.30578512</f>
        <v/>
      </c>
      <c r="G9" s="11" t="n">
        <v>51890</v>
      </c>
      <c r="H9" s="31" t="n">
        <v>1774216</v>
      </c>
      <c r="I9" s="40">
        <f>H9/G9</f>
        <v/>
      </c>
      <c r="J9" s="41">
        <f>I9*3.30578512</f>
        <v/>
      </c>
      <c r="K9" s="11" t="n">
        <v>116271</v>
      </c>
      <c r="L9" s="31" t="n">
        <v>3203689</v>
      </c>
      <c r="M9" s="40">
        <f>L9/K9</f>
        <v/>
      </c>
      <c r="N9" s="41">
        <f>M9*3.30578512</f>
        <v/>
      </c>
      <c r="O9" s="11" t="n">
        <v>173181</v>
      </c>
      <c r="P9" s="31" t="n">
        <v>6427432</v>
      </c>
      <c r="Q9" s="40">
        <f>P9/O9</f>
        <v/>
      </c>
      <c r="R9" s="41">
        <f>Q9*3.30578512</f>
        <v/>
      </c>
      <c r="S9" s="11" t="n">
        <v>88166</v>
      </c>
      <c r="T9" s="31" t="n">
        <v>2508835</v>
      </c>
      <c r="U9" s="40">
        <f>T9/S9</f>
        <v/>
      </c>
      <c r="V9" s="41">
        <f>U9*3.30578512</f>
        <v/>
      </c>
      <c r="W9" s="11" t="n">
        <v>62683</v>
      </c>
      <c r="X9" s="31" t="n">
        <v>2232198</v>
      </c>
      <c r="Y9" s="40">
        <f>X9/W9</f>
        <v/>
      </c>
      <c r="Z9" s="41">
        <f>Y9*3.30578512</f>
        <v/>
      </c>
      <c r="AA9" s="11" t="n">
        <v>85769</v>
      </c>
      <c r="AB9" s="31" t="n">
        <v>3909924</v>
      </c>
      <c r="AC9" s="40">
        <f>AB9/AA9</f>
        <v/>
      </c>
      <c r="AD9" s="41">
        <f>AC9*3.30578512</f>
        <v/>
      </c>
      <c r="AE9" s="11" t="n">
        <v>90258</v>
      </c>
      <c r="AF9" s="31" t="n">
        <v>3745219</v>
      </c>
      <c r="AG9" s="40">
        <f>AF9/AE9</f>
        <v/>
      </c>
      <c r="AH9" s="41">
        <f>AG9*3.30578512</f>
        <v/>
      </c>
      <c r="AI9" s="11" t="n">
        <v>34086</v>
      </c>
      <c r="AJ9" s="31" t="n">
        <v>1288005</v>
      </c>
      <c r="AK9" s="40">
        <f>AJ9/AI9</f>
        <v/>
      </c>
      <c r="AL9" s="41">
        <f>AK9*3.30578512</f>
        <v/>
      </c>
      <c r="AM9" s="11" t="n">
        <v>32190</v>
      </c>
      <c r="AN9" s="31" t="n">
        <v>1072003</v>
      </c>
      <c r="AO9" s="40">
        <f>AN9/AM9</f>
        <v/>
      </c>
      <c r="AP9" s="41">
        <f>AO9*3.30578512</f>
        <v/>
      </c>
      <c r="AQ9" s="11" t="n">
        <v>40077</v>
      </c>
      <c r="AR9" s="31" t="n">
        <v>1483873</v>
      </c>
      <c r="AS9" s="40">
        <f>AR9/AQ9</f>
        <v/>
      </c>
      <c r="AT9" s="41">
        <f>AS9*3.30578512</f>
        <v/>
      </c>
      <c r="AU9" s="11" t="n">
        <v>78959</v>
      </c>
      <c r="AV9" s="31" t="n">
        <v>3358800</v>
      </c>
      <c r="AW9" s="40">
        <f>AV9/AU9</f>
        <v/>
      </c>
      <c r="AX9" s="41">
        <f>AW9*3.30578512</f>
        <v/>
      </c>
      <c r="AY9" s="11" t="n">
        <v>61695</v>
      </c>
      <c r="AZ9" s="31" t="n">
        <v>3184395</v>
      </c>
      <c r="BA9" s="40">
        <f>AZ9/AY9</f>
        <v/>
      </c>
      <c r="BB9" s="41">
        <f>BA9*3.30578512</f>
        <v/>
      </c>
      <c r="BC9" s="11" t="n">
        <v>46855</v>
      </c>
      <c r="BD9" s="31" t="n">
        <v>2164665.50499</v>
      </c>
      <c r="BE9" s="40">
        <f>BD9/BC9</f>
        <v/>
      </c>
      <c r="BF9" s="41">
        <f>BE9*3.30578512</f>
        <v/>
      </c>
      <c r="BG9" s="11" t="n">
        <v>36837</v>
      </c>
      <c r="BH9" s="31" t="n">
        <v>1676479.07322</v>
      </c>
      <c r="BI9" s="40">
        <f>BH9/BG9</f>
        <v/>
      </c>
      <c r="BJ9" s="41">
        <f>BI9*3.30578512</f>
        <v/>
      </c>
    </row>
    <row r="10">
      <c r="B10" s="2" t="inlineStr">
        <is>
          <t>病院・診療所</t>
        </is>
      </c>
      <c r="C10" s="11" t="n">
        <v>1024242</v>
      </c>
      <c r="D10" s="31" t="n">
        <v>29249650</v>
      </c>
      <c r="E10" s="40">
        <f>D10/C10</f>
        <v/>
      </c>
      <c r="F10" s="41">
        <f>E10*3.30578512</f>
        <v/>
      </c>
      <c r="G10" s="11" t="n">
        <v>37579</v>
      </c>
      <c r="H10" s="31" t="n">
        <v>1256192</v>
      </c>
      <c r="I10" s="40">
        <f>H10/G10</f>
        <v/>
      </c>
      <c r="J10" s="41">
        <f>I10*3.30578512</f>
        <v/>
      </c>
      <c r="K10" s="11" t="n">
        <v>35646</v>
      </c>
      <c r="L10" s="31" t="n">
        <v>942009</v>
      </c>
      <c r="M10" s="40">
        <f>L10/K10</f>
        <v/>
      </c>
      <c r="N10" s="41">
        <f>M10*3.30578512</f>
        <v/>
      </c>
      <c r="O10" s="11" t="n">
        <v>30421</v>
      </c>
      <c r="P10" s="31" t="n">
        <v>1316334</v>
      </c>
      <c r="Q10" s="40">
        <f>P10/O10</f>
        <v/>
      </c>
      <c r="R10" s="41">
        <f>Q10*3.30578512</f>
        <v/>
      </c>
      <c r="S10" s="11" t="n">
        <v>51002</v>
      </c>
      <c r="T10" s="31" t="n">
        <v>1899726</v>
      </c>
      <c r="U10" s="40">
        <f>T10/S10</f>
        <v/>
      </c>
      <c r="V10" s="41">
        <f>U10*3.30578512</f>
        <v/>
      </c>
      <c r="W10" s="11" t="n">
        <v>53670</v>
      </c>
      <c r="X10" s="31" t="n">
        <v>2730012</v>
      </c>
      <c r="Y10" s="40">
        <f>X10/W10</f>
        <v/>
      </c>
      <c r="Z10" s="41">
        <f>Y10*3.30578512</f>
        <v/>
      </c>
      <c r="AA10" s="11" t="n">
        <v>131908</v>
      </c>
      <c r="AB10" s="31" t="n">
        <v>5493250</v>
      </c>
      <c r="AC10" s="40">
        <f>AB10/AA10</f>
        <v/>
      </c>
      <c r="AD10" s="41">
        <f>AC10*3.30578512</f>
        <v/>
      </c>
      <c r="AE10" s="11" t="n">
        <v>15684</v>
      </c>
      <c r="AF10" s="31" t="n">
        <v>747019</v>
      </c>
      <c r="AG10" s="40">
        <f>AF10/AE10</f>
        <v/>
      </c>
      <c r="AH10" s="41">
        <f>AG10*3.30578512</f>
        <v/>
      </c>
      <c r="AI10" s="11" t="n">
        <v>31814</v>
      </c>
      <c r="AJ10" s="31" t="n">
        <v>1390287</v>
      </c>
      <c r="AK10" s="40">
        <f>AJ10/AI10</f>
        <v/>
      </c>
      <c r="AL10" s="41">
        <f>AK10*3.30578512</f>
        <v/>
      </c>
      <c r="AM10" s="11" t="n">
        <v>4911</v>
      </c>
      <c r="AN10" s="31" t="n">
        <v>252510</v>
      </c>
      <c r="AO10" s="40">
        <f>AN10/AM10</f>
        <v/>
      </c>
      <c r="AP10" s="41">
        <f>AO10*3.30578512</f>
        <v/>
      </c>
      <c r="AQ10" s="11" t="n">
        <v>33521</v>
      </c>
      <c r="AR10" s="31" t="n">
        <v>1394000</v>
      </c>
      <c r="AS10" s="40">
        <f>AR10/AQ10</f>
        <v/>
      </c>
      <c r="AT10" s="41">
        <f>AS10*3.30578512</f>
        <v/>
      </c>
      <c r="AU10" s="11" t="n">
        <v>42760</v>
      </c>
      <c r="AV10" s="31" t="n">
        <v>2069660</v>
      </c>
      <c r="AW10" s="40">
        <f>AV10/AU10</f>
        <v/>
      </c>
      <c r="AX10" s="41">
        <f>AW10*3.30578512</f>
        <v/>
      </c>
      <c r="AY10" s="11" t="n">
        <v>56004</v>
      </c>
      <c r="AZ10" s="31" t="n">
        <v>1992480</v>
      </c>
      <c r="BA10" s="40">
        <f>AZ10/AY10</f>
        <v/>
      </c>
      <c r="BB10" s="41">
        <f>BA10*3.30578512</f>
        <v/>
      </c>
      <c r="BC10" s="11" t="n">
        <v>16968</v>
      </c>
      <c r="BD10" s="31" t="n">
        <v>834225.1137700001</v>
      </c>
      <c r="BE10" s="40">
        <f>BD10/BC10</f>
        <v/>
      </c>
      <c r="BF10" s="41">
        <f>BE10*3.30578512</f>
        <v/>
      </c>
      <c r="BG10" s="11" t="n">
        <v>16780</v>
      </c>
      <c r="BH10" s="31" t="n">
        <v>973237.3414499999</v>
      </c>
      <c r="BI10" s="40">
        <f>BH10/BG10</f>
        <v/>
      </c>
      <c r="BJ10" s="41">
        <f>BI10*3.30578512</f>
        <v/>
      </c>
    </row>
    <row r="11" ht="18.6" customHeight="1" thickBot="1">
      <c r="B11" s="2" t="inlineStr">
        <is>
          <t>その他</t>
        </is>
      </c>
      <c r="C11" s="15" t="n">
        <v>2863587</v>
      </c>
      <c r="D11" s="16" t="n">
        <v>79499077</v>
      </c>
      <c r="E11" s="42">
        <f>D11/C11</f>
        <v/>
      </c>
      <c r="F11" s="43">
        <f>E11*3.30578512</f>
        <v/>
      </c>
      <c r="G11" s="15" t="n">
        <v>145387</v>
      </c>
      <c r="H11" s="16" t="n">
        <v>8433486</v>
      </c>
      <c r="I11" s="42">
        <f>H11/G11</f>
        <v/>
      </c>
      <c r="J11" s="43">
        <f>I11*3.30578512</f>
        <v/>
      </c>
      <c r="K11" s="15" t="n">
        <v>139166</v>
      </c>
      <c r="L11" s="16" t="n">
        <v>4777887</v>
      </c>
      <c r="M11" s="42">
        <f>L11/K11</f>
        <v/>
      </c>
      <c r="N11" s="43">
        <f>M11*3.30578512</f>
        <v/>
      </c>
      <c r="O11" s="15" t="n">
        <v>108312</v>
      </c>
      <c r="P11" s="16" t="n">
        <v>4182521</v>
      </c>
      <c r="Q11" s="42">
        <f>P11/O11</f>
        <v/>
      </c>
      <c r="R11" s="43">
        <f>Q11*3.30578512</f>
        <v/>
      </c>
      <c r="S11" s="15" t="n">
        <v>196902</v>
      </c>
      <c r="T11" s="16" t="n">
        <v>9093172</v>
      </c>
      <c r="U11" s="42">
        <f>T11/S11</f>
        <v/>
      </c>
      <c r="V11" s="43">
        <f>U11*3.30578512</f>
        <v/>
      </c>
      <c r="W11" s="15" t="n">
        <v>124745</v>
      </c>
      <c r="X11" s="16" t="n">
        <v>5453712</v>
      </c>
      <c r="Y11" s="42">
        <f>X11/W11</f>
        <v/>
      </c>
      <c r="Z11" s="43">
        <f>Y11*3.30578512</f>
        <v/>
      </c>
      <c r="AA11" s="15" t="n">
        <v>162589</v>
      </c>
      <c r="AB11" s="16" t="n">
        <v>6832117</v>
      </c>
      <c r="AC11" s="42">
        <f>AB11/AA11</f>
        <v/>
      </c>
      <c r="AD11" s="43">
        <f>AC11*3.30578512</f>
        <v/>
      </c>
      <c r="AE11" s="15" t="n">
        <v>164354</v>
      </c>
      <c r="AF11" s="16" t="n">
        <v>8016236</v>
      </c>
      <c r="AG11" s="42">
        <f>AF11/AE11</f>
        <v/>
      </c>
      <c r="AH11" s="43">
        <f>AG11*3.30578512</f>
        <v/>
      </c>
      <c r="AI11" s="15" t="n">
        <v>155119</v>
      </c>
      <c r="AJ11" s="16" t="n">
        <v>6724494</v>
      </c>
      <c r="AK11" s="42">
        <f>AJ11/AI11</f>
        <v/>
      </c>
      <c r="AL11" s="43">
        <f>AK11*3.30578512</f>
        <v/>
      </c>
      <c r="AM11" s="15" t="n">
        <v>157352</v>
      </c>
      <c r="AN11" s="16" t="n">
        <v>8032040</v>
      </c>
      <c r="AO11" s="42">
        <f>AN11/AM11</f>
        <v/>
      </c>
      <c r="AP11" s="43">
        <f>AO11*3.30578512</f>
        <v/>
      </c>
      <c r="AQ11" s="15" t="n">
        <v>148141</v>
      </c>
      <c r="AR11" s="16" t="n">
        <v>7330161</v>
      </c>
      <c r="AS11" s="42">
        <f>AR11/AQ11</f>
        <v/>
      </c>
      <c r="AT11" s="43">
        <f>AS11*3.30578512</f>
        <v/>
      </c>
      <c r="AU11" s="15" t="n">
        <v>224207</v>
      </c>
      <c r="AV11" s="16" t="n">
        <v>13715335</v>
      </c>
      <c r="AW11" s="42">
        <f>AV11/AU11</f>
        <v/>
      </c>
      <c r="AX11" s="43">
        <f>AW11*3.30578512</f>
        <v/>
      </c>
      <c r="AY11" s="15" t="n">
        <v>129124</v>
      </c>
      <c r="AZ11" s="16" t="n">
        <v>6513811</v>
      </c>
      <c r="BA11" s="42">
        <f>AZ11/AY11</f>
        <v/>
      </c>
      <c r="BB11" s="43">
        <f>BA11*3.30578512</f>
        <v/>
      </c>
      <c r="BC11" s="15" t="n">
        <v>123812</v>
      </c>
      <c r="BD11" s="16" t="n">
        <v>6408679.0338</v>
      </c>
      <c r="BE11" s="42">
        <f>BD11/BC11</f>
        <v/>
      </c>
      <c r="BF11" s="43">
        <f>BE11*3.30578512</f>
        <v/>
      </c>
      <c r="BG11" s="15" t="n">
        <v>149719</v>
      </c>
      <c r="BH11" s="16" t="n">
        <v>6668545.8623</v>
      </c>
      <c r="BI11" s="42">
        <f>BH11/BG11</f>
        <v/>
      </c>
      <c r="BJ11" s="43">
        <f>BI11*3.30578512</f>
        <v/>
      </c>
    </row>
    <row r="12">
      <c r="BC12" s="44" t="n"/>
      <c r="BD12" s="44" t="n"/>
      <c r="BG12" s="44" t="n"/>
      <c r="BH12" s="4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L38"/>
  <sheetViews>
    <sheetView tabSelected="1" zoomScale="70" zoomScaleNormal="70" workbookViewId="0">
      <selection activeCell="FP34" sqref="FP34"/>
    </sheetView>
  </sheetViews>
  <sheetFormatPr baseColWidth="8" defaultColWidth="8.69921875" defaultRowHeight="18"/>
  <cols>
    <col width="2.796875" customWidth="1" style="2" min="1" max="1"/>
    <col width="14.296875" bestFit="1" customWidth="1" style="2" min="2" max="2"/>
    <col width="11.59765625" customWidth="1" style="2" min="3" max="196"/>
    <col width="8.69921875" customWidth="1" style="2" min="197" max="16384"/>
  </cols>
  <sheetData>
    <row r="1" ht="19.8" customHeight="1">
      <c r="A1" s="1" t="inlineStr">
        <is>
          <t>鉄骨造</t>
        </is>
      </c>
    </row>
    <row r="2" ht="20.4" customHeight="1" thickBot="1">
      <c r="A2" s="1" t="n"/>
    </row>
    <row r="3">
      <c r="C3" s="4" t="inlineStr">
        <is>
          <t>2015（基準）</t>
        </is>
      </c>
      <c r="D3" s="5" t="n"/>
      <c r="E3" s="5" t="n"/>
      <c r="F3" s="6" t="n"/>
      <c r="G3" s="4" t="inlineStr">
        <is>
          <t>令和4年1月分</t>
        </is>
      </c>
      <c r="H3" s="5" t="n"/>
      <c r="I3" s="5" t="n"/>
      <c r="J3" s="6" t="n"/>
      <c r="K3" s="4" t="inlineStr">
        <is>
          <t>令和4年2月分</t>
        </is>
      </c>
      <c r="M3" s="5" t="n"/>
      <c r="N3" s="6" t="n"/>
      <c r="O3" s="4" t="inlineStr">
        <is>
          <t>令和4年3月分</t>
        </is>
      </c>
      <c r="Q3" s="5" t="n"/>
      <c r="R3" s="6" t="n"/>
      <c r="S3" s="4" t="inlineStr">
        <is>
          <t>令和4年4月分</t>
        </is>
      </c>
      <c r="T3" s="5" t="n"/>
      <c r="U3" s="5" t="n"/>
      <c r="V3" s="6" t="n"/>
      <c r="W3" s="4" t="inlineStr">
        <is>
          <t>令和4年5月分</t>
        </is>
      </c>
      <c r="Y3" s="5" t="n"/>
      <c r="Z3" s="6" t="n"/>
      <c r="AA3" s="4" t="inlineStr">
        <is>
          <t>令和4年6月分</t>
        </is>
      </c>
      <c r="AC3" s="5" t="n"/>
      <c r="AD3" s="6" t="n"/>
      <c r="AE3" s="4" t="inlineStr">
        <is>
          <t>令和4年7月分</t>
        </is>
      </c>
      <c r="AF3" s="5" t="n"/>
      <c r="AG3" s="5" t="n"/>
      <c r="AH3" s="6" t="n"/>
      <c r="AI3" s="4" t="inlineStr">
        <is>
          <t>令和4年8月分</t>
        </is>
      </c>
      <c r="AK3" s="5" t="n"/>
      <c r="AL3" s="6" t="n"/>
      <c r="AM3" s="4" t="inlineStr">
        <is>
          <t>令和4年9月分</t>
        </is>
      </c>
      <c r="AO3" s="5" t="n"/>
      <c r="AP3" s="6" t="n"/>
      <c r="AQ3" s="4" t="inlineStr">
        <is>
          <t>令和4年10月分</t>
        </is>
      </c>
      <c r="AR3" s="5" t="n"/>
      <c r="AS3" s="5" t="n"/>
      <c r="AT3" s="6" t="n"/>
      <c r="AU3" s="4" t="inlineStr">
        <is>
          <t>令和4年11月分</t>
        </is>
      </c>
      <c r="AW3" s="5" t="n"/>
      <c r="AX3" s="6" t="n"/>
      <c r="AY3" s="4" t="inlineStr">
        <is>
          <t>令和4年12月分</t>
        </is>
      </c>
      <c r="AZ3" s="5" t="n"/>
      <c r="BA3" s="5" t="n"/>
      <c r="BB3" s="6" t="n"/>
      <c r="BC3" s="4" t="inlineStr">
        <is>
          <t>令和5年1月分</t>
        </is>
      </c>
      <c r="BD3" s="5" t="n"/>
      <c r="BE3" s="5" t="n"/>
      <c r="BF3" s="6" t="n"/>
      <c r="BG3" s="4" t="inlineStr">
        <is>
          <t>令和5年2月分</t>
        </is>
      </c>
      <c r="BI3" s="5" t="n"/>
      <c r="BJ3" s="6" t="n"/>
      <c r="BK3" s="4" t="inlineStr">
        <is>
          <t>令和5年3月分</t>
        </is>
      </c>
      <c r="BM3" s="5" t="n"/>
      <c r="BN3" s="6" t="n"/>
      <c r="BO3" s="4" t="inlineStr">
        <is>
          <t>令和5年4月分</t>
        </is>
      </c>
      <c r="BP3" s="5" t="n"/>
      <c r="BQ3" s="5" t="n"/>
      <c r="BR3" s="6" t="n"/>
      <c r="BS3" s="4" t="inlineStr">
        <is>
          <t>令和5年5月分</t>
        </is>
      </c>
      <c r="BU3" s="5" t="n"/>
      <c r="BV3" s="6" t="n"/>
      <c r="BW3" s="4" t="inlineStr">
        <is>
          <t>令和5年6月分</t>
        </is>
      </c>
      <c r="BY3" s="5" t="n"/>
      <c r="BZ3" s="6" t="n"/>
      <c r="CA3" s="4" t="inlineStr">
        <is>
          <t>令和5年7月分</t>
        </is>
      </c>
      <c r="CB3" s="5" t="n"/>
      <c r="CC3" s="5" t="n"/>
      <c r="CD3" s="6" t="n"/>
      <c r="CE3" s="4" t="inlineStr">
        <is>
          <t>令和5年8月分</t>
        </is>
      </c>
      <c r="CG3" s="5" t="n"/>
      <c r="CH3" s="6" t="n"/>
      <c r="CI3" s="4" t="inlineStr">
        <is>
          <t>令和5年9月分</t>
        </is>
      </c>
      <c r="CK3" s="5" t="n"/>
      <c r="CL3" s="6" t="n"/>
      <c r="CM3" s="4" t="inlineStr">
        <is>
          <t>令和5年10月分</t>
        </is>
      </c>
      <c r="CN3" s="5" t="n"/>
      <c r="CO3" s="5" t="n"/>
      <c r="CP3" s="6" t="n"/>
      <c r="CQ3" s="4" t="inlineStr">
        <is>
          <t>令和5年11月分</t>
        </is>
      </c>
      <c r="CS3" s="5" t="n"/>
      <c r="CT3" s="6" t="n"/>
      <c r="CU3" s="4" t="inlineStr">
        <is>
          <t>令和5年12月分</t>
        </is>
      </c>
      <c r="CV3" s="5" t="n"/>
      <c r="CW3" s="5" t="n"/>
      <c r="CX3" s="6" t="n"/>
      <c r="CY3" s="4" t="inlineStr">
        <is>
          <t>令和6年1月分</t>
        </is>
      </c>
      <c r="CZ3" s="5" t="n"/>
      <c r="DA3" s="5" t="n"/>
      <c r="DB3" s="6" t="n"/>
      <c r="DC3" s="4" t="inlineStr">
        <is>
          <t>令和6年2月分</t>
        </is>
      </c>
      <c r="DE3" s="5" t="n"/>
      <c r="DF3" s="6" t="n"/>
      <c r="DG3" s="4" t="inlineStr">
        <is>
          <t>令和6年3月分</t>
        </is>
      </c>
      <c r="DI3" s="5" t="n"/>
      <c r="DJ3" s="6" t="n"/>
      <c r="DK3" s="4" t="inlineStr">
        <is>
          <t>令和6年4月分</t>
        </is>
      </c>
      <c r="DL3" s="5" t="n"/>
      <c r="DM3" s="5" t="n"/>
      <c r="DN3" s="6" t="n"/>
      <c r="DO3" s="4" t="inlineStr">
        <is>
          <t>令和6年5月分</t>
        </is>
      </c>
      <c r="DQ3" s="5" t="n"/>
      <c r="DR3" s="6" t="n"/>
      <c r="DS3" s="4" t="inlineStr">
        <is>
          <t>令和6年6月分</t>
        </is>
      </c>
      <c r="DU3" s="5" t="n"/>
      <c r="DV3" s="6" t="n"/>
      <c r="DW3" s="4" t="inlineStr">
        <is>
          <t>令和6年7月分</t>
        </is>
      </c>
      <c r="DX3" s="5" t="n"/>
      <c r="DY3" s="5" t="n"/>
      <c r="DZ3" s="6" t="n"/>
      <c r="EA3" s="4" t="inlineStr">
        <is>
          <t>令和6年8月分</t>
        </is>
      </c>
      <c r="EC3" s="5" t="n"/>
      <c r="ED3" s="6" t="n"/>
      <c r="EE3" s="4" t="inlineStr">
        <is>
          <t>令和6年9月分</t>
        </is>
      </c>
      <c r="EG3" s="5" t="n"/>
      <c r="EH3" s="6" t="n"/>
      <c r="EI3" s="4" t="inlineStr">
        <is>
          <t>令和6年10月分</t>
        </is>
      </c>
      <c r="EJ3" s="5" t="n"/>
      <c r="EK3" s="5" t="n"/>
      <c r="EL3" s="6" t="n"/>
      <c r="EM3" s="4" t="inlineStr">
        <is>
          <t>令和6年11月分</t>
        </is>
      </c>
      <c r="EN3" s="5" t="n"/>
      <c r="EO3" s="5" t="n"/>
      <c r="EP3" s="6" t="n"/>
      <c r="EQ3" s="4" t="inlineStr">
        <is>
          <t>令和6年12月分</t>
        </is>
      </c>
      <c r="ER3" s="5" t="n"/>
      <c r="ES3" s="5" t="n"/>
      <c r="ET3" s="6" t="n"/>
      <c r="EU3" s="4" t="inlineStr">
        <is>
          <t>令和7年1月分</t>
        </is>
      </c>
      <c r="EV3" s="5" t="n"/>
      <c r="EW3" s="5" t="n"/>
      <c r="EX3" s="6" t="n"/>
      <c r="EY3" s="4" t="inlineStr">
        <is>
          <t>令和7年2月分</t>
        </is>
      </c>
      <c r="EZ3" s="5" t="n"/>
      <c r="FA3" s="5" t="n"/>
      <c r="FB3" s="6" t="n"/>
      <c r="FC3" s="4" t="inlineStr">
        <is>
          <t>令和7年3月分</t>
        </is>
      </c>
      <c r="FD3" s="5" t="n"/>
      <c r="FE3" s="5" t="n"/>
      <c r="FF3" s="6" t="n"/>
      <c r="FG3" s="4" t="inlineStr">
        <is>
          <t>令和7年4月分</t>
        </is>
      </c>
      <c r="FH3" s="5" t="n"/>
      <c r="FI3" s="5" t="n"/>
      <c r="FJ3" s="6" t="n"/>
      <c r="FK3" s="4" t="inlineStr">
        <is>
          <t>令和7年5月分</t>
        </is>
      </c>
      <c r="FL3" s="5" t="n"/>
      <c r="FM3" s="5" t="n"/>
      <c r="FN3" s="6" t="n"/>
      <c r="FO3" s="4" t="inlineStr">
        <is>
          <t>令和7年6月分</t>
        </is>
      </c>
      <c r="FP3" s="5" t="n"/>
      <c r="FQ3" s="5" t="n"/>
      <c r="FR3" s="6" t="n"/>
      <c r="FS3" s="4" t="inlineStr">
        <is>
          <t>令和7年7月分</t>
        </is>
      </c>
      <c r="FT3" s="5" t="n"/>
      <c r="FU3" s="5" t="n"/>
      <c r="FV3" s="6" t="n"/>
      <c r="FW3" s="4" t="inlineStr">
        <is>
          <t>令和7年8月分</t>
        </is>
      </c>
      <c r="FX3" s="5" t="n"/>
      <c r="FY3" s="5" t="n"/>
      <c r="FZ3" s="6" t="n"/>
    </row>
    <row r="4" ht="45" customHeight="1">
      <c r="C4" s="7" t="inlineStr">
        <is>
          <t>床面積の合計　（㎡）</t>
        </is>
      </c>
      <c r="D4" s="8" t="inlineStr">
        <is>
          <t>工事費予定額（万円）</t>
        </is>
      </c>
      <c r="E4" s="9" t="inlineStr">
        <is>
          <t>面積単価
（万円/㎡）</t>
        </is>
      </c>
      <c r="F4" s="10" t="inlineStr">
        <is>
          <t>面積単価
（万円/坪）</t>
        </is>
      </c>
      <c r="G4" s="7" t="inlineStr">
        <is>
          <t>床面積の合計　（㎡）</t>
        </is>
      </c>
      <c r="H4" s="8" t="inlineStr">
        <is>
          <t>工事費予定額（万円）</t>
        </is>
      </c>
      <c r="I4" s="9" t="inlineStr">
        <is>
          <t>面積単価
（万円/㎡）</t>
        </is>
      </c>
      <c r="J4" s="10" t="inlineStr">
        <is>
          <t>面積単価
（万円/坪）</t>
        </is>
      </c>
      <c r="K4" s="7" t="inlineStr">
        <is>
          <t>床面積の合計　（㎡）</t>
        </is>
      </c>
      <c r="L4" s="8" t="inlineStr">
        <is>
          <t>工事費予定額（万円）</t>
        </is>
      </c>
      <c r="M4" s="9" t="inlineStr">
        <is>
          <t>面積単価
（万円/㎡）</t>
        </is>
      </c>
      <c r="N4" s="10" t="inlineStr">
        <is>
          <t>面積単価
（万円/坪）</t>
        </is>
      </c>
      <c r="O4" s="7" t="inlineStr">
        <is>
          <t>床面積の合計　（㎡）</t>
        </is>
      </c>
      <c r="P4" s="8" t="inlineStr">
        <is>
          <t>工事費予定額（万円）</t>
        </is>
      </c>
      <c r="Q4" s="9" t="inlineStr">
        <is>
          <t>面積単価
（万円/㎡）</t>
        </is>
      </c>
      <c r="R4" s="10" t="inlineStr">
        <is>
          <t>面積単価
（万円/坪）</t>
        </is>
      </c>
      <c r="S4" s="7" t="inlineStr">
        <is>
          <t>床面積の合計　（㎡）</t>
        </is>
      </c>
      <c r="T4" s="8" t="inlineStr">
        <is>
          <t>工事費予定額（万円）</t>
        </is>
      </c>
      <c r="U4" s="9" t="inlineStr">
        <is>
          <t>面積単価
（万円/㎡）</t>
        </is>
      </c>
      <c r="V4" s="10" t="inlineStr">
        <is>
          <t>面積単価
（万円/坪）</t>
        </is>
      </c>
      <c r="W4" s="7" t="inlineStr">
        <is>
          <t>床面積の合計　（㎡）</t>
        </is>
      </c>
      <c r="X4" s="8" t="inlineStr">
        <is>
          <t>工事費予定額（万円）</t>
        </is>
      </c>
      <c r="Y4" s="9" t="inlineStr">
        <is>
          <t>面積単価
（万円/㎡）</t>
        </is>
      </c>
      <c r="Z4" s="10" t="inlineStr">
        <is>
          <t>面積単価
（万円/坪）</t>
        </is>
      </c>
      <c r="AA4" s="7" t="inlineStr">
        <is>
          <t>床面積の合計　（㎡）</t>
        </is>
      </c>
      <c r="AB4" s="8" t="inlineStr">
        <is>
          <t>工事費予定額（万円）</t>
        </is>
      </c>
      <c r="AC4" s="9" t="inlineStr">
        <is>
          <t>面積単価
（万円/㎡）</t>
        </is>
      </c>
      <c r="AD4" s="10" t="inlineStr">
        <is>
          <t>面積単価
（万円/坪）</t>
        </is>
      </c>
      <c r="AE4" s="7" t="inlineStr">
        <is>
          <t>床面積の合計　（㎡）</t>
        </is>
      </c>
      <c r="AF4" s="8" t="inlineStr">
        <is>
          <t>工事費予定額（万円）</t>
        </is>
      </c>
      <c r="AG4" s="9" t="inlineStr">
        <is>
          <t>面積単価
（万円/㎡）</t>
        </is>
      </c>
      <c r="AH4" s="10" t="inlineStr">
        <is>
          <t>面積単価
（万円/坪）</t>
        </is>
      </c>
      <c r="AI4" s="7" t="inlineStr">
        <is>
          <t>床面積の合計　（㎡）</t>
        </is>
      </c>
      <c r="AJ4" s="8" t="inlineStr">
        <is>
          <t>工事費予定額（万円）</t>
        </is>
      </c>
      <c r="AK4" s="9" t="inlineStr">
        <is>
          <t>面積単価
（万円/㎡）</t>
        </is>
      </c>
      <c r="AL4" s="10" t="inlineStr">
        <is>
          <t>面積単価
（万円/坪）</t>
        </is>
      </c>
      <c r="AM4" s="7" t="inlineStr">
        <is>
          <t>床面積の合計　（㎡）</t>
        </is>
      </c>
      <c r="AN4" s="8" t="inlineStr">
        <is>
          <t>工事費予定額（万円）</t>
        </is>
      </c>
      <c r="AO4" s="9" t="inlineStr">
        <is>
          <t>面積単価
（万円/㎡）</t>
        </is>
      </c>
      <c r="AP4" s="10" t="inlineStr">
        <is>
          <t>面積単価
（万円/坪）</t>
        </is>
      </c>
      <c r="AQ4" s="7" t="inlineStr">
        <is>
          <t>床面積の合計　（㎡）</t>
        </is>
      </c>
      <c r="AR4" s="8" t="inlineStr">
        <is>
          <t>工事費予定額（万円）</t>
        </is>
      </c>
      <c r="AS4" s="9" t="inlineStr">
        <is>
          <t>面積単価
（万円/㎡）</t>
        </is>
      </c>
      <c r="AT4" s="10" t="inlineStr">
        <is>
          <t>面積単価
（万円/坪）</t>
        </is>
      </c>
      <c r="AU4" s="7" t="inlineStr">
        <is>
          <t>床面積の合計　（㎡）</t>
        </is>
      </c>
      <c r="AV4" s="8" t="inlineStr">
        <is>
          <t>工事費予定額（万円）</t>
        </is>
      </c>
      <c r="AW4" s="9" t="inlineStr">
        <is>
          <t>面積単価
（万円/㎡）</t>
        </is>
      </c>
      <c r="AX4" s="10" t="inlineStr">
        <is>
          <t>面積単価
（万円/坪）</t>
        </is>
      </c>
      <c r="AY4" s="7" t="inlineStr">
        <is>
          <t>床面積の合計　（㎡）</t>
        </is>
      </c>
      <c r="AZ4" s="8" t="inlineStr">
        <is>
          <t>工事費予定額（万円）</t>
        </is>
      </c>
      <c r="BA4" s="9" t="inlineStr">
        <is>
          <t>面積単価
（万円/㎡）</t>
        </is>
      </c>
      <c r="BB4" s="10" t="inlineStr">
        <is>
          <t>面積単価
（万円/坪）</t>
        </is>
      </c>
      <c r="BC4" s="7" t="inlineStr">
        <is>
          <t>床面積の合計　（㎡）</t>
        </is>
      </c>
      <c r="BD4" s="8" t="inlineStr">
        <is>
          <t>工事費予定額（万円）</t>
        </is>
      </c>
      <c r="BE4" s="9" t="inlineStr">
        <is>
          <t>面積単価
（万円/㎡）</t>
        </is>
      </c>
      <c r="BF4" s="10" t="inlineStr">
        <is>
          <t>面積単価
（万円/坪）</t>
        </is>
      </c>
      <c r="BG4" s="7" t="inlineStr">
        <is>
          <t>床面積の合計　（㎡）</t>
        </is>
      </c>
      <c r="BH4" s="8" t="inlineStr">
        <is>
          <t>工事費予定額（万円）</t>
        </is>
      </c>
      <c r="BI4" s="9" t="inlineStr">
        <is>
          <t>面積単価
（万円/㎡）</t>
        </is>
      </c>
      <c r="BJ4" s="10" t="inlineStr">
        <is>
          <t>面積単価
（万円/坪）</t>
        </is>
      </c>
      <c r="BK4" s="7" t="inlineStr">
        <is>
          <t>床面積の合計　（㎡）</t>
        </is>
      </c>
      <c r="BL4" s="8" t="inlineStr">
        <is>
          <t>工事費予定額（万円）</t>
        </is>
      </c>
      <c r="BM4" s="9" t="inlineStr">
        <is>
          <t>面積単価
（万円/㎡）</t>
        </is>
      </c>
      <c r="BN4" s="10" t="inlineStr">
        <is>
          <t>面積単価
（万円/坪）</t>
        </is>
      </c>
      <c r="BO4" s="7" t="inlineStr">
        <is>
          <t>床面積の合計　（㎡）</t>
        </is>
      </c>
      <c r="BP4" s="8" t="inlineStr">
        <is>
          <t>工事費予定額（万円）</t>
        </is>
      </c>
      <c r="BQ4" s="9" t="inlineStr">
        <is>
          <t>面積単価
（万円/㎡）</t>
        </is>
      </c>
      <c r="BR4" s="10" t="inlineStr">
        <is>
          <t>面積単価
（万円/坪）</t>
        </is>
      </c>
      <c r="BS4" s="7" t="inlineStr">
        <is>
          <t>床面積の合計　（㎡）</t>
        </is>
      </c>
      <c r="BT4" s="8" t="inlineStr">
        <is>
          <t>工事費予定額（万円）</t>
        </is>
      </c>
      <c r="BU4" s="9" t="inlineStr">
        <is>
          <t>面積単価
（万円/㎡）</t>
        </is>
      </c>
      <c r="BV4" s="10" t="inlineStr">
        <is>
          <t>面積単価
（万円/坪）</t>
        </is>
      </c>
      <c r="BW4" s="7" t="inlineStr">
        <is>
          <t>床面積の合計　（㎡）</t>
        </is>
      </c>
      <c r="BX4" s="8" t="inlineStr">
        <is>
          <t>工事費予定額（万円）</t>
        </is>
      </c>
      <c r="BY4" s="9" t="inlineStr">
        <is>
          <t>面積単価
（万円/㎡）</t>
        </is>
      </c>
      <c r="BZ4" s="10" t="inlineStr">
        <is>
          <t>面積単価
（万円/坪）</t>
        </is>
      </c>
      <c r="CA4" s="7" t="inlineStr">
        <is>
          <t>床面積の合計　（㎡）</t>
        </is>
      </c>
      <c r="CB4" s="8" t="inlineStr">
        <is>
          <t>工事費予定額（万円）</t>
        </is>
      </c>
      <c r="CC4" s="9" t="inlineStr">
        <is>
          <t>面積単価
（万円/㎡）</t>
        </is>
      </c>
      <c r="CD4" s="10" t="inlineStr">
        <is>
          <t>面積単価
（万円/坪）</t>
        </is>
      </c>
      <c r="CE4" s="7" t="inlineStr">
        <is>
          <t>床面積の合計　（㎡）</t>
        </is>
      </c>
      <c r="CF4" s="8" t="inlineStr">
        <is>
          <t>工事費予定額（万円）</t>
        </is>
      </c>
      <c r="CG4" s="9" t="inlineStr">
        <is>
          <t>面積単価
（万円/㎡）</t>
        </is>
      </c>
      <c r="CH4" s="10" t="inlineStr">
        <is>
          <t>面積単価
（万円/坪）</t>
        </is>
      </c>
      <c r="CI4" s="7" t="inlineStr">
        <is>
          <t>床面積の合計　（㎡）</t>
        </is>
      </c>
      <c r="CJ4" s="8" t="inlineStr">
        <is>
          <t>工事費予定額（万円）</t>
        </is>
      </c>
      <c r="CK4" s="9" t="inlineStr">
        <is>
          <t>面積単価
（万円/㎡）</t>
        </is>
      </c>
      <c r="CL4" s="10" t="inlineStr">
        <is>
          <t>面積単価
（万円/坪）</t>
        </is>
      </c>
      <c r="CM4" s="7" t="inlineStr">
        <is>
          <t>床面積の合計　（㎡）</t>
        </is>
      </c>
      <c r="CN4" s="8" t="inlineStr">
        <is>
          <t>工事費予定額（万円）</t>
        </is>
      </c>
      <c r="CO4" s="9" t="inlineStr">
        <is>
          <t>面積単価
（万円/㎡）</t>
        </is>
      </c>
      <c r="CP4" s="10" t="inlineStr">
        <is>
          <t>面積単価
（万円/坪）</t>
        </is>
      </c>
      <c r="CQ4" s="7" t="inlineStr">
        <is>
          <t>床面積の合計　（㎡）</t>
        </is>
      </c>
      <c r="CR4" s="8" t="inlineStr">
        <is>
          <t>工事費予定額（万円）</t>
        </is>
      </c>
      <c r="CS4" s="9" t="inlineStr">
        <is>
          <t>面積単価
（万円/㎡）</t>
        </is>
      </c>
      <c r="CT4" s="10" t="inlineStr">
        <is>
          <t>面積単価
（万円/坪）</t>
        </is>
      </c>
      <c r="CU4" s="7" t="inlineStr">
        <is>
          <t>床面積の合計　（㎡）</t>
        </is>
      </c>
      <c r="CV4" s="8" t="inlineStr">
        <is>
          <t>工事費予定額（万円）</t>
        </is>
      </c>
      <c r="CW4" s="9" t="inlineStr">
        <is>
          <t>面積単価
（万円/㎡）</t>
        </is>
      </c>
      <c r="CX4" s="10" t="inlineStr">
        <is>
          <t>面積単価
（万円/坪）</t>
        </is>
      </c>
      <c r="CY4" s="7" t="inlineStr">
        <is>
          <t>床面積の合計　（㎡）</t>
        </is>
      </c>
      <c r="CZ4" s="8" t="inlineStr">
        <is>
          <t>工事費予定額（万円）</t>
        </is>
      </c>
      <c r="DA4" s="9" t="inlineStr">
        <is>
          <t>面積単価
（万円/㎡）</t>
        </is>
      </c>
      <c r="DB4" s="10" t="inlineStr">
        <is>
          <t>面積単価
（万円/坪）</t>
        </is>
      </c>
      <c r="DC4" s="7" t="inlineStr">
        <is>
          <t>床面積の合計　（㎡）</t>
        </is>
      </c>
      <c r="DD4" s="8" t="inlineStr">
        <is>
          <t>工事費予定額（万円）</t>
        </is>
      </c>
      <c r="DE4" s="9" t="inlineStr">
        <is>
          <t>面積単価
（万円/㎡）</t>
        </is>
      </c>
      <c r="DF4" s="10" t="inlineStr">
        <is>
          <t>面積単価
（万円/坪）</t>
        </is>
      </c>
      <c r="DG4" s="7" t="inlineStr">
        <is>
          <t>床面積の合計　（㎡）</t>
        </is>
      </c>
      <c r="DH4" s="8" t="inlineStr">
        <is>
          <t>工事費予定額（万円）</t>
        </is>
      </c>
      <c r="DI4" s="9" t="inlineStr">
        <is>
          <t>面積単価
（万円/㎡）</t>
        </is>
      </c>
      <c r="DJ4" s="10" t="inlineStr">
        <is>
          <t>面積単価
（万円/坪）</t>
        </is>
      </c>
      <c r="DK4" s="7" t="inlineStr">
        <is>
          <t>床面積の合計　（㎡）</t>
        </is>
      </c>
      <c r="DL4" s="8" t="inlineStr">
        <is>
          <t>工事費予定額（万円）</t>
        </is>
      </c>
      <c r="DM4" s="9" t="inlineStr">
        <is>
          <t>面積単価
（万円/㎡）</t>
        </is>
      </c>
      <c r="DN4" s="10" t="inlineStr">
        <is>
          <t>面積単価
（万円/坪）</t>
        </is>
      </c>
      <c r="DO4" s="7" t="inlineStr">
        <is>
          <t>床面積の合計　（㎡）</t>
        </is>
      </c>
      <c r="DP4" s="8" t="inlineStr">
        <is>
          <t>工事費予定額（万円）</t>
        </is>
      </c>
      <c r="DQ4" s="9" t="inlineStr">
        <is>
          <t>面積単価
（万円/㎡）</t>
        </is>
      </c>
      <c r="DR4" s="10" t="inlineStr">
        <is>
          <t>面積単価
（万円/坪）</t>
        </is>
      </c>
      <c r="DS4" s="7" t="inlineStr">
        <is>
          <t>床面積の合計　（㎡）</t>
        </is>
      </c>
      <c r="DT4" s="8" t="inlineStr">
        <is>
          <t>工事費予定額（万円）</t>
        </is>
      </c>
      <c r="DU4" s="9" t="inlineStr">
        <is>
          <t>面積単価
（万円/㎡）</t>
        </is>
      </c>
      <c r="DV4" s="10" t="inlineStr">
        <is>
          <t>面積単価
（万円/坪）</t>
        </is>
      </c>
      <c r="DW4" s="7" t="inlineStr">
        <is>
          <t>床面積の合計　（㎡）</t>
        </is>
      </c>
      <c r="DX4" s="8" t="inlineStr">
        <is>
          <t>工事費予定額（万円）</t>
        </is>
      </c>
      <c r="DY4" s="9" t="inlineStr">
        <is>
          <t>面積単価
（万円/㎡）</t>
        </is>
      </c>
      <c r="DZ4" s="10" t="inlineStr">
        <is>
          <t>面積単価
（万円/坪）</t>
        </is>
      </c>
      <c r="EA4" s="7" t="inlineStr">
        <is>
          <t>床面積の合計　（㎡）</t>
        </is>
      </c>
      <c r="EB4" s="8" t="inlineStr">
        <is>
          <t>工事費予定額（万円）</t>
        </is>
      </c>
      <c r="EC4" s="9" t="inlineStr">
        <is>
          <t>面積単価
（万円/㎡）</t>
        </is>
      </c>
      <c r="ED4" s="10" t="inlineStr">
        <is>
          <t>面積単価
（万円/坪）</t>
        </is>
      </c>
      <c r="EE4" s="7" t="inlineStr">
        <is>
          <t>床面積の合計　（㎡）</t>
        </is>
      </c>
      <c r="EF4" s="8" t="inlineStr">
        <is>
          <t>工事費予定額（万円）</t>
        </is>
      </c>
      <c r="EG4" s="9" t="inlineStr">
        <is>
          <t>面積単価
（万円/㎡）</t>
        </is>
      </c>
      <c r="EH4" s="10" t="inlineStr">
        <is>
          <t>面積単価
（万円/坪）</t>
        </is>
      </c>
      <c r="EI4" s="7" t="inlineStr">
        <is>
          <t>床面積の合計　（㎡）</t>
        </is>
      </c>
      <c r="EJ4" s="8" t="inlineStr">
        <is>
          <t>工事費予定額（万円）</t>
        </is>
      </c>
      <c r="EK4" s="9" t="inlineStr">
        <is>
          <t>面積単価
（万円/㎡）</t>
        </is>
      </c>
      <c r="EL4" s="10" t="inlineStr">
        <is>
          <t>面積単価
（万円/坪）</t>
        </is>
      </c>
      <c r="EM4" s="7" t="inlineStr">
        <is>
          <t>床面積の合計　（㎡）</t>
        </is>
      </c>
      <c r="EN4" s="8" t="inlineStr">
        <is>
          <t>工事費予定額（万円）</t>
        </is>
      </c>
      <c r="EO4" s="9" t="inlineStr">
        <is>
          <t>面積単価
（万円/㎡）</t>
        </is>
      </c>
      <c r="EP4" s="10" t="inlineStr">
        <is>
          <t>面積単価
（万円/坪）</t>
        </is>
      </c>
      <c r="EQ4" s="7" t="inlineStr">
        <is>
          <t>床面積の合計　（㎡）</t>
        </is>
      </c>
      <c r="ER4" s="8" t="inlineStr">
        <is>
          <t>工事費予定額（万円）</t>
        </is>
      </c>
      <c r="ES4" s="9" t="inlineStr">
        <is>
          <t>面積単価
（万円/㎡）</t>
        </is>
      </c>
      <c r="ET4" s="10" t="inlineStr">
        <is>
          <t>面積単価
（万円/坪）</t>
        </is>
      </c>
      <c r="EU4" s="7" t="inlineStr">
        <is>
          <t>床面積の合計　（㎡）</t>
        </is>
      </c>
      <c r="EV4" s="8" t="inlineStr">
        <is>
          <t>工事費予定額（万円）</t>
        </is>
      </c>
      <c r="EW4" s="9" t="inlineStr">
        <is>
          <t>面積単価
（万円/㎡）</t>
        </is>
      </c>
      <c r="EX4" s="10" t="inlineStr">
        <is>
          <t>面積単価
（万円/坪）</t>
        </is>
      </c>
      <c r="EY4" s="7" t="inlineStr">
        <is>
          <t>床面積の合計　（㎡）</t>
        </is>
      </c>
      <c r="EZ4" s="8" t="inlineStr">
        <is>
          <t>工事費予定額（万円）</t>
        </is>
      </c>
      <c r="FA4" s="9" t="inlineStr">
        <is>
          <t>面積単価
（万円/㎡）</t>
        </is>
      </c>
      <c r="FB4" s="10" t="inlineStr">
        <is>
          <t>面積単価
（万円/坪）</t>
        </is>
      </c>
      <c r="FC4" s="7" t="inlineStr">
        <is>
          <t>床面積の合計　（㎡）</t>
        </is>
      </c>
      <c r="FD4" s="8" t="inlineStr">
        <is>
          <t>工事費予定額（万円）</t>
        </is>
      </c>
      <c r="FE4" s="9" t="inlineStr">
        <is>
          <t>面積単価
（万円/㎡）</t>
        </is>
      </c>
      <c r="FF4" s="10" t="inlineStr">
        <is>
          <t>面積単価
（万円/坪）</t>
        </is>
      </c>
      <c r="FG4" s="7" t="inlineStr">
        <is>
          <t>床面積の合計　（㎡）</t>
        </is>
      </c>
      <c r="FH4" s="8" t="inlineStr">
        <is>
          <t>工事費予定額（万円）</t>
        </is>
      </c>
      <c r="FI4" s="9" t="inlineStr">
        <is>
          <t>面積単価
（万円/㎡）</t>
        </is>
      </c>
      <c r="FJ4" s="10" t="inlineStr">
        <is>
          <t>面積単価
（万円/坪）</t>
        </is>
      </c>
      <c r="FK4" s="7" t="inlineStr">
        <is>
          <t>床面積の合計　（㎡）</t>
        </is>
      </c>
      <c r="FL4" s="8" t="inlineStr">
        <is>
          <t>工事費予定額（万円）</t>
        </is>
      </c>
      <c r="FM4" s="9" t="inlineStr">
        <is>
          <t>面積単価
（万円/㎡）</t>
        </is>
      </c>
      <c r="FN4" s="10" t="inlineStr">
        <is>
          <t>面積単価
（万円/坪）</t>
        </is>
      </c>
      <c r="FO4" s="7" t="inlineStr">
        <is>
          <t>床面積の合計　（㎡）</t>
        </is>
      </c>
      <c r="FP4" s="8" t="inlineStr">
        <is>
          <t>工事費予定額（万円）</t>
        </is>
      </c>
      <c r="FQ4" s="9" t="inlineStr">
        <is>
          <t>面積単価
（万円/㎡）</t>
        </is>
      </c>
      <c r="FR4" s="10" t="inlineStr">
        <is>
          <t>面積単価
（万円/坪）</t>
        </is>
      </c>
      <c r="FS4" s="7" t="inlineStr">
        <is>
          <t>床面積の合計　（㎡）</t>
        </is>
      </c>
      <c r="FT4" s="8" t="inlineStr">
        <is>
          <t>工事費予定額（万円）</t>
        </is>
      </c>
      <c r="FU4" s="9" t="inlineStr">
        <is>
          <t>面積単価
（万円/㎡）</t>
        </is>
      </c>
      <c r="FV4" s="10" t="inlineStr">
        <is>
          <t>面積単価
（万円/坪）</t>
        </is>
      </c>
      <c r="FW4" s="7" t="inlineStr">
        <is>
          <t>床面積の合計　（㎡）</t>
        </is>
      </c>
      <c r="FX4" s="8" t="inlineStr">
        <is>
          <t>工事費予定額（万円）</t>
        </is>
      </c>
      <c r="FY4" s="9" t="inlineStr">
        <is>
          <t>面積単価
（万円/㎡）</t>
        </is>
      </c>
      <c r="FZ4" s="10" t="inlineStr">
        <is>
          <t>面積単価
（万円/坪）</t>
        </is>
      </c>
    </row>
    <row r="5">
      <c r="B5" s="2" t="inlineStr">
        <is>
          <t>事務所</t>
        </is>
      </c>
      <c r="C5" s="11" t="n">
        <v>4986837</v>
      </c>
      <c r="D5" s="31" t="n">
        <v>138290050</v>
      </c>
      <c r="E5" s="40">
        <f>D5/C5</f>
        <v/>
      </c>
      <c r="F5" s="41">
        <f>E5*3.30578512</f>
        <v/>
      </c>
      <c r="G5" s="11" t="n">
        <v>304427</v>
      </c>
      <c r="H5" s="31" t="n">
        <v>9964888</v>
      </c>
      <c r="I5" s="40">
        <f>H5/G5</f>
        <v/>
      </c>
      <c r="J5" s="41">
        <f>I5*3.30578512</f>
        <v/>
      </c>
      <c r="K5" s="11" t="n">
        <v>234568</v>
      </c>
      <c r="L5" s="31" t="n">
        <v>7178890</v>
      </c>
      <c r="M5" s="40">
        <f>L5/K5</f>
        <v/>
      </c>
      <c r="N5" s="41">
        <f>M5*3.30578512</f>
        <v/>
      </c>
      <c r="O5" s="11" t="n">
        <v>326568</v>
      </c>
      <c r="P5" s="31" t="n">
        <v>8655630</v>
      </c>
      <c r="Q5" s="40">
        <f>P5/O5</f>
        <v/>
      </c>
      <c r="R5" s="41">
        <f>Q5*3.30578512</f>
        <v/>
      </c>
      <c r="S5" s="11" t="n">
        <v>372268</v>
      </c>
      <c r="T5" s="31" t="n">
        <v>11180130</v>
      </c>
      <c r="U5" s="40">
        <f>T5/S5</f>
        <v/>
      </c>
      <c r="V5" s="41">
        <f>U5*3.30578512</f>
        <v/>
      </c>
      <c r="W5" s="11" t="n">
        <v>251106</v>
      </c>
      <c r="X5" s="31" t="n">
        <v>9823521</v>
      </c>
      <c r="Y5" s="40">
        <f>X5/W5</f>
        <v/>
      </c>
      <c r="Z5" s="41">
        <f>Y5*3.30578512</f>
        <v/>
      </c>
      <c r="AA5" s="11" t="n">
        <v>384784</v>
      </c>
      <c r="AB5" s="31" t="n">
        <v>13228464</v>
      </c>
      <c r="AC5" s="40">
        <f>AB5/AA5</f>
        <v/>
      </c>
      <c r="AD5" s="41">
        <f>AC5*3.30578512</f>
        <v/>
      </c>
      <c r="AE5" s="11" t="n">
        <v>438227</v>
      </c>
      <c r="AF5" s="31" t="n">
        <v>19316127</v>
      </c>
      <c r="AG5" s="40">
        <f>AF5/AE5</f>
        <v/>
      </c>
      <c r="AH5" s="41">
        <f>AG5*3.30578512</f>
        <v/>
      </c>
      <c r="AI5" s="11" t="n">
        <v>288928</v>
      </c>
      <c r="AJ5" s="31" t="n">
        <v>8129108</v>
      </c>
      <c r="AK5" s="40">
        <f>AJ5/AI5</f>
        <v/>
      </c>
      <c r="AL5" s="41">
        <f>AK5*3.30578512</f>
        <v/>
      </c>
      <c r="AM5" s="11" t="n">
        <v>416123</v>
      </c>
      <c r="AN5" s="31" t="n">
        <v>18487312</v>
      </c>
      <c r="AO5" s="40">
        <f>AN5/AM5</f>
        <v/>
      </c>
      <c r="AP5" s="41">
        <f>AO5*3.30578512</f>
        <v/>
      </c>
      <c r="AQ5" s="11" t="n">
        <v>335080</v>
      </c>
      <c r="AR5" s="31" t="n">
        <v>11983171</v>
      </c>
      <c r="AS5" s="40">
        <f>AR5/AQ5</f>
        <v/>
      </c>
      <c r="AT5" s="41">
        <f>AS5*3.30578512</f>
        <v/>
      </c>
      <c r="AU5" s="11" t="n">
        <v>396639</v>
      </c>
      <c r="AV5" s="31" t="n">
        <v>14275145</v>
      </c>
      <c r="AW5" s="40">
        <f>AV5/AU5</f>
        <v/>
      </c>
      <c r="AX5" s="41">
        <f>AW5*3.30578512</f>
        <v/>
      </c>
      <c r="AY5" s="11" t="n">
        <v>243333</v>
      </c>
      <c r="AZ5" s="31" t="n">
        <v>11055431</v>
      </c>
      <c r="BA5" s="40">
        <f>AZ5/AY5</f>
        <v/>
      </c>
      <c r="BB5" s="41">
        <f>BA5*3.30578512</f>
        <v/>
      </c>
      <c r="BC5" s="11" t="n">
        <v>265880</v>
      </c>
      <c r="BD5" s="31" t="n">
        <v>9030358</v>
      </c>
      <c r="BE5" s="40">
        <f>BD5/BC5</f>
        <v/>
      </c>
      <c r="BF5" s="41">
        <f>BE5*3.30578512</f>
        <v/>
      </c>
      <c r="BG5" s="11" t="n">
        <v>252616</v>
      </c>
      <c r="BH5" s="31" t="n">
        <v>8814267</v>
      </c>
      <c r="BI5" s="40">
        <f>BH5/BG5</f>
        <v/>
      </c>
      <c r="BJ5" s="41">
        <f>BI5*3.30578512</f>
        <v/>
      </c>
      <c r="BK5" s="11" t="n">
        <v>262835</v>
      </c>
      <c r="BL5" s="31" t="n">
        <v>9011710</v>
      </c>
      <c r="BM5" s="40">
        <f>BL5/BK5</f>
        <v/>
      </c>
      <c r="BN5" s="41">
        <f>BM5*3.30578512</f>
        <v/>
      </c>
      <c r="BO5" s="11" t="n">
        <v>375752</v>
      </c>
      <c r="BP5" s="31" t="n">
        <v>13476755</v>
      </c>
      <c r="BQ5" s="40">
        <f>BP5/BO5</f>
        <v/>
      </c>
      <c r="BR5" s="41">
        <f>BQ5*3.30578512</f>
        <v/>
      </c>
      <c r="BS5" s="11" t="n">
        <v>265069</v>
      </c>
      <c r="BT5" s="31" t="n">
        <v>9528771</v>
      </c>
      <c r="BU5" s="40">
        <f>BT5/BS5</f>
        <v/>
      </c>
      <c r="BV5" s="41">
        <f>BU5*3.30578512</f>
        <v/>
      </c>
      <c r="BW5" s="11" t="n">
        <v>283220</v>
      </c>
      <c r="BX5" s="31" t="n">
        <v>10474266</v>
      </c>
      <c r="BY5" s="40">
        <f>BX5/BW5</f>
        <v/>
      </c>
      <c r="BZ5" s="41">
        <f>BY5*3.30578512</f>
        <v/>
      </c>
      <c r="CA5" s="11" t="n">
        <v>371653</v>
      </c>
      <c r="CB5" s="31" t="n">
        <v>17028276</v>
      </c>
      <c r="CC5" s="40">
        <f>CB5/CA5</f>
        <v/>
      </c>
      <c r="CD5" s="41">
        <f>CC5*3.30578512</f>
        <v/>
      </c>
      <c r="CE5" s="11" t="n">
        <v>177442</v>
      </c>
      <c r="CF5" s="31" t="n">
        <v>6836406</v>
      </c>
      <c r="CG5" s="40">
        <f>CF5/CE5</f>
        <v/>
      </c>
      <c r="CH5" s="41">
        <f>CG5*3.30578512</f>
        <v/>
      </c>
      <c r="CI5" s="11" t="n">
        <v>264665</v>
      </c>
      <c r="CJ5" s="31" t="n">
        <v>10186205</v>
      </c>
      <c r="CK5" s="40">
        <f>CJ5/CI5</f>
        <v/>
      </c>
      <c r="CL5" s="41">
        <f>CK5*3.30578512</f>
        <v/>
      </c>
      <c r="CM5" s="11" t="n">
        <v>301774</v>
      </c>
      <c r="CN5" s="31" t="n">
        <v>11024756</v>
      </c>
      <c r="CO5" s="40">
        <f>CN5/CM5</f>
        <v/>
      </c>
      <c r="CP5" s="41">
        <f>CO5*3.30578512</f>
        <v/>
      </c>
      <c r="CQ5" s="11" t="n">
        <v>293557</v>
      </c>
      <c r="CR5" s="31" t="n">
        <v>10566113</v>
      </c>
      <c r="CS5" s="40">
        <f>CR5/CQ5</f>
        <v/>
      </c>
      <c r="CT5" s="41">
        <f>CS5*3.30578512</f>
        <v/>
      </c>
      <c r="CU5" s="11" t="n">
        <v>772017</v>
      </c>
      <c r="CV5" s="31" t="n">
        <v>49470449</v>
      </c>
      <c r="CW5" s="40">
        <f>CV5/CU5</f>
        <v/>
      </c>
      <c r="CX5" s="41">
        <f>CW5*3.30578512</f>
        <v/>
      </c>
      <c r="CY5" s="11" t="n">
        <v>696891</v>
      </c>
      <c r="CZ5" s="31" t="n">
        <v>28702203</v>
      </c>
      <c r="DA5" s="40">
        <f>CZ5/CY5</f>
        <v/>
      </c>
      <c r="DB5" s="41">
        <f>DA5*3.30578512</f>
        <v/>
      </c>
      <c r="DC5" s="11" t="n">
        <v>294618</v>
      </c>
      <c r="DD5" s="31" t="n">
        <v>12178890</v>
      </c>
      <c r="DE5" s="40">
        <f>DD5/DC5</f>
        <v/>
      </c>
      <c r="DF5" s="41">
        <f>DE5*3.30578512</f>
        <v/>
      </c>
      <c r="DG5" s="11" t="n">
        <v>609659</v>
      </c>
      <c r="DH5" s="31" t="n">
        <v>25614822</v>
      </c>
      <c r="DI5" s="40">
        <f>DH5/DG5</f>
        <v/>
      </c>
      <c r="DJ5" s="41">
        <f>DI5*3.30578512</f>
        <v/>
      </c>
      <c r="DK5" s="11" t="n">
        <v>346102</v>
      </c>
      <c r="DL5" s="31" t="n">
        <v>15827781</v>
      </c>
      <c r="DM5" s="40">
        <f>DL5/DK5</f>
        <v/>
      </c>
      <c r="DN5" s="41">
        <f>DM5*3.30578512</f>
        <v/>
      </c>
      <c r="DO5" s="11" t="n">
        <v>350082</v>
      </c>
      <c r="DP5" s="31" t="n">
        <v>8443971</v>
      </c>
      <c r="DQ5" s="40">
        <f>DP5/DO5</f>
        <v/>
      </c>
      <c r="DR5" s="41">
        <f>DQ5*3.30578512</f>
        <v/>
      </c>
      <c r="DS5" s="11" t="n">
        <v>265989</v>
      </c>
      <c r="DT5" s="31" t="n">
        <v>12465579</v>
      </c>
      <c r="DU5" s="40">
        <f>DT5/DS5</f>
        <v/>
      </c>
      <c r="DV5" s="41">
        <f>DU5*3.30578512</f>
        <v/>
      </c>
      <c r="DW5" s="11" t="n">
        <v>628940</v>
      </c>
      <c r="DX5" s="31" t="n">
        <v>25489877</v>
      </c>
      <c r="DY5" s="40">
        <f>DX5/DW5</f>
        <v/>
      </c>
      <c r="DZ5" s="41">
        <f>DY5*3.30578512</f>
        <v/>
      </c>
      <c r="EA5" s="11" t="n">
        <v>166485</v>
      </c>
      <c r="EB5" s="31" t="n">
        <v>7412704</v>
      </c>
      <c r="EC5" s="40">
        <f>EB5/EA5</f>
        <v/>
      </c>
      <c r="ED5" s="41">
        <f>EC5*3.30578512</f>
        <v/>
      </c>
      <c r="EE5" s="11" t="n">
        <v>274097</v>
      </c>
      <c r="EF5" s="31" t="n">
        <v>11321662</v>
      </c>
      <c r="EG5" s="40">
        <f>EF5/EE5</f>
        <v/>
      </c>
      <c r="EH5" s="41">
        <f>EG5*3.30578512</f>
        <v/>
      </c>
      <c r="EI5" s="11" t="n">
        <v>254290</v>
      </c>
      <c r="EJ5" s="31" t="n">
        <v>10139886</v>
      </c>
      <c r="EK5" s="40">
        <f>EJ5/EI5</f>
        <v/>
      </c>
      <c r="EL5" s="41">
        <f>EK5*3.30578512</f>
        <v/>
      </c>
      <c r="EM5" s="11" t="n">
        <v>170842</v>
      </c>
      <c r="EN5" s="31" t="n">
        <v>6032659</v>
      </c>
      <c r="EO5" s="40">
        <f>EN5/EM5</f>
        <v/>
      </c>
      <c r="EP5" s="41">
        <f>EO5*3.30578512</f>
        <v/>
      </c>
      <c r="EQ5" s="11" t="n">
        <v>206504</v>
      </c>
      <c r="ER5" s="31" t="n">
        <v>8393466</v>
      </c>
      <c r="ES5" s="40">
        <f>ER5/EQ5</f>
        <v/>
      </c>
      <c r="ET5" s="41">
        <f>ES5*3.30578512</f>
        <v/>
      </c>
      <c r="EU5" s="11" t="n">
        <v>266043</v>
      </c>
      <c r="EV5" s="31" t="n">
        <v>12105799.10382</v>
      </c>
      <c r="EW5" s="40">
        <f>EV5/EU5</f>
        <v/>
      </c>
      <c r="EX5" s="41">
        <f>EW5*3.30578512</f>
        <v/>
      </c>
      <c r="EY5" s="11" t="n">
        <v>186444</v>
      </c>
      <c r="EZ5" s="31" t="n">
        <v>6580223.58564</v>
      </c>
      <c r="FA5" s="40">
        <f>EZ5/EY5</f>
        <v/>
      </c>
      <c r="FB5" s="41">
        <f>FA5*3.30578512</f>
        <v/>
      </c>
      <c r="FC5" s="11" t="n">
        <v>539369</v>
      </c>
      <c r="FD5" s="31" t="n">
        <v>38448948.41525</v>
      </c>
      <c r="FE5" s="40">
        <f>FD5/FC5</f>
        <v/>
      </c>
      <c r="FF5" s="41">
        <f>FE5*3.30578512</f>
        <v/>
      </c>
      <c r="FG5" s="11" t="n">
        <v>331956</v>
      </c>
      <c r="FH5" s="31" t="n">
        <v>16259901.10851</v>
      </c>
      <c r="FI5" s="40">
        <f>FH5/FG5</f>
        <v/>
      </c>
      <c r="FJ5" s="41">
        <f>FI5*3.30578512</f>
        <v/>
      </c>
      <c r="FK5" s="11" t="n">
        <v>266452</v>
      </c>
      <c r="FL5" s="31" t="n">
        <v>13057560.06959</v>
      </c>
      <c r="FM5" s="40">
        <f>FL5/FK5</f>
        <v/>
      </c>
      <c r="FN5" s="41">
        <f>FM5*3.30578512</f>
        <v/>
      </c>
      <c r="FO5" s="11" t="n"/>
      <c r="FP5" s="31" t="n"/>
      <c r="FQ5" s="40">
        <f>FP5/FO5</f>
        <v/>
      </c>
      <c r="FR5" s="41">
        <f>FQ5*3.30578512</f>
        <v/>
      </c>
      <c r="FS5" s="11" t="n"/>
      <c r="FT5" s="31" t="n"/>
      <c r="FU5" s="40">
        <f>FT5/FS5</f>
        <v/>
      </c>
      <c r="FV5" s="41">
        <f>FU5*3.30578512</f>
        <v/>
      </c>
      <c r="FW5" s="11" t="n"/>
      <c r="FX5" s="31" t="n"/>
      <c r="FY5" s="40">
        <f>FX5/FW5</f>
        <v/>
      </c>
      <c r="FZ5" s="41">
        <f>FY5*3.30578512</f>
        <v/>
      </c>
    </row>
    <row r="6">
      <c r="B6" s="2" t="inlineStr">
        <is>
          <t>店舗</t>
        </is>
      </c>
      <c r="C6" s="11" t="n">
        <v>5648530</v>
      </c>
      <c r="D6" s="31" t="n">
        <v>91415609</v>
      </c>
      <c r="E6" s="40">
        <f>D6/C6</f>
        <v/>
      </c>
      <c r="F6" s="41">
        <f>E6*3.30578512</f>
        <v/>
      </c>
      <c r="G6" s="11" t="n">
        <v>235062</v>
      </c>
      <c r="H6" s="31" t="n">
        <v>4409546</v>
      </c>
      <c r="I6" s="40">
        <f>H6/G6</f>
        <v/>
      </c>
      <c r="J6" s="41">
        <f>I6*3.30578512</f>
        <v/>
      </c>
      <c r="K6" s="11" t="n">
        <v>340618</v>
      </c>
      <c r="L6" s="31" t="n">
        <v>5562274</v>
      </c>
      <c r="M6" s="40">
        <f>L6/K6</f>
        <v/>
      </c>
      <c r="N6" s="41">
        <f>M6*3.30578512</f>
        <v/>
      </c>
      <c r="O6" s="11" t="n">
        <v>285237</v>
      </c>
      <c r="P6" s="31" t="n">
        <v>4767054</v>
      </c>
      <c r="Q6" s="40">
        <f>P6/O6</f>
        <v/>
      </c>
      <c r="R6" s="41">
        <f>Q6*3.30578512</f>
        <v/>
      </c>
      <c r="S6" s="11" t="n">
        <v>376830</v>
      </c>
      <c r="T6" s="31" t="n">
        <v>6137473</v>
      </c>
      <c r="U6" s="40">
        <f>T6/S6</f>
        <v/>
      </c>
      <c r="V6" s="41">
        <f>U6*3.30578512</f>
        <v/>
      </c>
      <c r="W6" s="11" t="n">
        <v>293027</v>
      </c>
      <c r="X6" s="31" t="n">
        <v>4772590</v>
      </c>
      <c r="Y6" s="40">
        <f>X6/W6</f>
        <v/>
      </c>
      <c r="Z6" s="41">
        <f>Y6*3.30578512</f>
        <v/>
      </c>
      <c r="AA6" s="11" t="n">
        <v>364727</v>
      </c>
      <c r="AB6" s="31" t="n">
        <v>6242425</v>
      </c>
      <c r="AC6" s="40">
        <f>AB6/AA6</f>
        <v/>
      </c>
      <c r="AD6" s="41">
        <f>AC6*3.30578512</f>
        <v/>
      </c>
      <c r="AE6" s="11" t="n">
        <v>409659</v>
      </c>
      <c r="AF6" s="31" t="n">
        <v>6185950</v>
      </c>
      <c r="AG6" s="40">
        <f>AF6/AE6</f>
        <v/>
      </c>
      <c r="AH6" s="41">
        <f>AG6*3.30578512</f>
        <v/>
      </c>
      <c r="AI6" s="11" t="n">
        <v>259968</v>
      </c>
      <c r="AJ6" s="31" t="n">
        <v>4368510</v>
      </c>
      <c r="AK6" s="40">
        <f>AJ6/AI6</f>
        <v/>
      </c>
      <c r="AL6" s="41">
        <f>AK6*3.30578512</f>
        <v/>
      </c>
      <c r="AM6" s="11" t="n">
        <v>283028</v>
      </c>
      <c r="AN6" s="31" t="n">
        <v>4752291</v>
      </c>
      <c r="AO6" s="40">
        <f>AN6/AM6</f>
        <v/>
      </c>
      <c r="AP6" s="41">
        <f>AO6*3.30578512</f>
        <v/>
      </c>
      <c r="AQ6" s="11" t="n">
        <v>297073</v>
      </c>
      <c r="AR6" s="31" t="n">
        <v>5803999</v>
      </c>
      <c r="AS6" s="40">
        <f>AR6/AQ6</f>
        <v/>
      </c>
      <c r="AT6" s="41">
        <f>AS6*3.30578512</f>
        <v/>
      </c>
      <c r="AU6" s="11" t="n">
        <v>297961</v>
      </c>
      <c r="AV6" s="31" t="n">
        <v>6201695</v>
      </c>
      <c r="AW6" s="40">
        <f>AV6/AU6</f>
        <v/>
      </c>
      <c r="AX6" s="41">
        <f>AW6*3.30578512</f>
        <v/>
      </c>
      <c r="AY6" s="11" t="n">
        <v>336799</v>
      </c>
      <c r="AZ6" s="31" t="n">
        <v>7061378</v>
      </c>
      <c r="BA6" s="40">
        <f>AZ6/AY6</f>
        <v/>
      </c>
      <c r="BB6" s="41">
        <f>BA6*3.30578512</f>
        <v/>
      </c>
      <c r="BC6" s="11" t="n">
        <v>349495</v>
      </c>
      <c r="BD6" s="31" t="n">
        <v>6533442</v>
      </c>
      <c r="BE6" s="40">
        <f>BD6/BC6</f>
        <v/>
      </c>
      <c r="BF6" s="41">
        <f>BE6*3.30578512</f>
        <v/>
      </c>
      <c r="BG6" s="11" t="n">
        <v>299766</v>
      </c>
      <c r="BH6" s="31" t="n">
        <v>9026374</v>
      </c>
      <c r="BI6" s="40">
        <f>BH6/BG6</f>
        <v/>
      </c>
      <c r="BJ6" s="41">
        <f>BI6*3.30578512</f>
        <v/>
      </c>
      <c r="BK6" s="11" t="n">
        <v>265050</v>
      </c>
      <c r="BL6" s="31" t="n">
        <v>4385844</v>
      </c>
      <c r="BM6" s="40">
        <f>BL6/BK6</f>
        <v/>
      </c>
      <c r="BN6" s="41">
        <f>BM6*3.30578512</f>
        <v/>
      </c>
      <c r="BO6" s="11" t="n">
        <v>301640</v>
      </c>
      <c r="BP6" s="31" t="n">
        <v>5766701</v>
      </c>
      <c r="BQ6" s="40">
        <f>BP6/BO6</f>
        <v/>
      </c>
      <c r="BR6" s="41">
        <f>BQ6*3.30578512</f>
        <v/>
      </c>
      <c r="BS6" s="11" t="n">
        <v>273555</v>
      </c>
      <c r="BT6" s="31" t="n">
        <v>5429301</v>
      </c>
      <c r="BU6" s="40">
        <f>BT6/BS6</f>
        <v/>
      </c>
      <c r="BV6" s="41">
        <f>BU6*3.30578512</f>
        <v/>
      </c>
      <c r="BW6" s="11" t="n">
        <v>242463</v>
      </c>
      <c r="BX6" s="31" t="n">
        <v>5250744</v>
      </c>
      <c r="BY6" s="40">
        <f>BX6/BW6</f>
        <v/>
      </c>
      <c r="BZ6" s="41">
        <f>BY6*3.30578512</f>
        <v/>
      </c>
      <c r="CA6" s="11" t="n">
        <v>260084</v>
      </c>
      <c r="CB6" s="31" t="n">
        <v>4704308</v>
      </c>
      <c r="CC6" s="40">
        <f>CB6/CA6</f>
        <v/>
      </c>
      <c r="CD6" s="41">
        <f>CC6*3.30578512</f>
        <v/>
      </c>
      <c r="CE6" s="11" t="n">
        <v>293055</v>
      </c>
      <c r="CF6" s="31" t="n">
        <v>5122568</v>
      </c>
      <c r="CG6" s="40">
        <f>CF6/CE6</f>
        <v/>
      </c>
      <c r="CH6" s="41">
        <f>CG6*3.30578512</f>
        <v/>
      </c>
      <c r="CI6" s="11" t="n">
        <v>319914</v>
      </c>
      <c r="CJ6" s="31" t="n">
        <v>5949907</v>
      </c>
      <c r="CK6" s="40">
        <f>CJ6/CI6</f>
        <v/>
      </c>
      <c r="CL6" s="41">
        <f>CK6*3.30578512</f>
        <v/>
      </c>
      <c r="CM6" s="11" t="n">
        <v>373898</v>
      </c>
      <c r="CN6" s="31" t="n">
        <v>6937033</v>
      </c>
      <c r="CO6" s="40">
        <f>CN6/CM6</f>
        <v/>
      </c>
      <c r="CP6" s="41">
        <f>CO6*3.30578512</f>
        <v/>
      </c>
      <c r="CQ6" s="11" t="n">
        <v>259485</v>
      </c>
      <c r="CR6" s="31" t="n">
        <v>5528798</v>
      </c>
      <c r="CS6" s="40">
        <f>CR6/CQ6</f>
        <v/>
      </c>
      <c r="CT6" s="41">
        <f>CS6*3.30578512</f>
        <v/>
      </c>
      <c r="CU6" s="11" t="n">
        <v>271390</v>
      </c>
      <c r="CV6" s="31" t="n">
        <v>5482636</v>
      </c>
      <c r="CW6" s="40">
        <f>CV6/CU6</f>
        <v/>
      </c>
      <c r="CX6" s="41">
        <f>CW6*3.30578512</f>
        <v/>
      </c>
      <c r="CY6" s="11" t="n">
        <v>251489</v>
      </c>
      <c r="CZ6" s="31" t="n">
        <v>5666683</v>
      </c>
      <c r="DA6" s="40">
        <f>CZ6/CY6</f>
        <v/>
      </c>
      <c r="DB6" s="41">
        <f>DA6*3.30578512</f>
        <v/>
      </c>
      <c r="DC6" s="11" t="n">
        <v>183913</v>
      </c>
      <c r="DD6" s="31" t="n">
        <v>3718826</v>
      </c>
      <c r="DE6" s="40">
        <f>DD6/DC6</f>
        <v/>
      </c>
      <c r="DF6" s="41">
        <f>DE6*3.30578512</f>
        <v/>
      </c>
      <c r="DG6" s="11" t="n">
        <v>251143</v>
      </c>
      <c r="DH6" s="31" t="n">
        <v>5111682</v>
      </c>
      <c r="DI6" s="40">
        <f>DH6/DG6</f>
        <v/>
      </c>
      <c r="DJ6" s="41">
        <f>DI6*3.30578512</f>
        <v/>
      </c>
      <c r="DK6" s="11" t="n">
        <v>508490</v>
      </c>
      <c r="DL6" s="31" t="n">
        <v>14852741</v>
      </c>
      <c r="DM6" s="40">
        <f>DL6/DK6</f>
        <v/>
      </c>
      <c r="DN6" s="41">
        <f>DM6*3.30578512</f>
        <v/>
      </c>
      <c r="DO6" s="11" t="n">
        <v>254162</v>
      </c>
      <c r="DP6" s="31" t="n">
        <v>5601602</v>
      </c>
      <c r="DQ6" s="40">
        <f>DP6/DO6</f>
        <v/>
      </c>
      <c r="DR6" s="41">
        <f>DQ6*3.30578512</f>
        <v/>
      </c>
      <c r="DS6" s="11" t="n">
        <v>258448</v>
      </c>
      <c r="DT6" s="31" t="n">
        <v>5469074</v>
      </c>
      <c r="DU6" s="40">
        <f>DT6/DS6</f>
        <v/>
      </c>
      <c r="DV6" s="41">
        <f>DU6*3.30578512</f>
        <v/>
      </c>
      <c r="DW6" s="11" t="n">
        <v>305800</v>
      </c>
      <c r="DX6" s="31" t="n">
        <v>5297357</v>
      </c>
      <c r="DY6" s="40">
        <f>DX6/DW6</f>
        <v/>
      </c>
      <c r="DZ6" s="41">
        <f>DY6*3.30578512</f>
        <v/>
      </c>
      <c r="EA6" s="11" t="n">
        <v>331828</v>
      </c>
      <c r="EB6" s="31" t="n">
        <v>7277925</v>
      </c>
      <c r="EC6" s="40">
        <f>EB6/EA6</f>
        <v/>
      </c>
      <c r="ED6" s="41">
        <f>EC6*3.30578512</f>
        <v/>
      </c>
      <c r="EE6" s="11" t="n">
        <v>251692</v>
      </c>
      <c r="EF6" s="31" t="n">
        <v>5649538</v>
      </c>
      <c r="EG6" s="40">
        <f>EF6/EE6</f>
        <v/>
      </c>
      <c r="EH6" s="41">
        <f>EG6*3.30578512</f>
        <v/>
      </c>
      <c r="EI6" s="11" t="n">
        <v>210277</v>
      </c>
      <c r="EJ6" s="31" t="n">
        <v>5070897</v>
      </c>
      <c r="EK6" s="40">
        <f>EJ6/EI6</f>
        <v/>
      </c>
      <c r="EL6" s="41">
        <f>EK6*3.30578512</f>
        <v/>
      </c>
      <c r="EM6" s="11" t="n">
        <v>232139</v>
      </c>
      <c r="EN6" s="31" t="n">
        <v>5033326</v>
      </c>
      <c r="EO6" s="40">
        <f>EN6/EM6</f>
        <v/>
      </c>
      <c r="EP6" s="41">
        <f>EO6*3.30578512</f>
        <v/>
      </c>
      <c r="EQ6" s="11" t="n">
        <v>288301</v>
      </c>
      <c r="ER6" s="31" t="n">
        <v>5920779</v>
      </c>
      <c r="ES6" s="40">
        <f>ER6/EQ6</f>
        <v/>
      </c>
      <c r="ET6" s="41">
        <f>ES6*3.30578512</f>
        <v/>
      </c>
      <c r="EU6" s="11" t="n">
        <v>268000</v>
      </c>
      <c r="EV6" s="31" t="n">
        <v>7319344.12228</v>
      </c>
      <c r="EW6" s="40">
        <f>EV6/EU6</f>
        <v/>
      </c>
      <c r="EX6" s="41">
        <f>EW6*3.30578512</f>
        <v/>
      </c>
      <c r="EY6" s="11" t="n">
        <v>182826</v>
      </c>
      <c r="EZ6" s="31" t="n">
        <v>4543917.76333</v>
      </c>
      <c r="FA6" s="40">
        <f>EZ6/EY6</f>
        <v/>
      </c>
      <c r="FB6" s="41">
        <f>FA6*3.30578512</f>
        <v/>
      </c>
      <c r="FC6" s="11" t="n">
        <v>315483</v>
      </c>
      <c r="FD6" s="31" t="n">
        <v>10934837.75184</v>
      </c>
      <c r="FE6" s="40">
        <f>FD6/FC6</f>
        <v/>
      </c>
      <c r="FF6" s="41">
        <f>FE6*3.30578512</f>
        <v/>
      </c>
      <c r="FG6" s="11" t="n">
        <v>360430</v>
      </c>
      <c r="FH6" s="31" t="n">
        <v>12264372.42963</v>
      </c>
      <c r="FI6" s="40">
        <f>FH6/FG6</f>
        <v/>
      </c>
      <c r="FJ6" s="41">
        <f>FI6*3.30578512</f>
        <v/>
      </c>
      <c r="FK6" s="11" t="n">
        <v>351659</v>
      </c>
      <c r="FL6" s="31" t="n">
        <v>7324507.68982</v>
      </c>
      <c r="FM6" s="40">
        <f>FL6/FK6</f>
        <v/>
      </c>
      <c r="FN6" s="41">
        <f>FM6*3.30578512</f>
        <v/>
      </c>
      <c r="FO6" s="11" t="n"/>
      <c r="FP6" s="31" t="n"/>
      <c r="FQ6" s="40">
        <f>FP6/FO6</f>
        <v/>
      </c>
      <c r="FR6" s="41">
        <f>FQ6*3.30578512</f>
        <v/>
      </c>
      <c r="FS6" s="11" t="n"/>
      <c r="FT6" s="31" t="n"/>
      <c r="FU6" s="40">
        <f>FT6/FS6</f>
        <v/>
      </c>
      <c r="FV6" s="41">
        <f>FU6*3.30578512</f>
        <v/>
      </c>
      <c r="FW6" s="11" t="n"/>
      <c r="FX6" s="31" t="n"/>
      <c r="FY6" s="40">
        <f>FX6/FW6</f>
        <v/>
      </c>
      <c r="FZ6" s="41">
        <f>FY6*3.30578512</f>
        <v/>
      </c>
    </row>
    <row r="7">
      <c r="B7" s="2" t="inlineStr">
        <is>
          <t>工場及び作業場</t>
        </is>
      </c>
      <c r="C7" s="11" t="n">
        <v>8378701</v>
      </c>
      <c r="D7" s="31" t="n">
        <v>151709668</v>
      </c>
      <c r="E7" s="40">
        <f>D7/C7</f>
        <v/>
      </c>
      <c r="F7" s="41">
        <f>E7*3.30578512</f>
        <v/>
      </c>
      <c r="G7" s="11" t="n">
        <v>461179</v>
      </c>
      <c r="H7" s="31" t="n">
        <v>11699628</v>
      </c>
      <c r="I7" s="40">
        <f>H7/G7</f>
        <v/>
      </c>
      <c r="J7" s="41">
        <f>I7*3.30578512</f>
        <v/>
      </c>
      <c r="K7" s="11" t="n">
        <v>576152</v>
      </c>
      <c r="L7" s="31" t="n">
        <v>14477709</v>
      </c>
      <c r="M7" s="40">
        <f>L7/K7</f>
        <v/>
      </c>
      <c r="N7" s="41">
        <f>M7*3.30578512</f>
        <v/>
      </c>
      <c r="O7" s="11" t="n">
        <v>634383</v>
      </c>
      <c r="P7" s="31" t="n">
        <v>13578836</v>
      </c>
      <c r="Q7" s="40">
        <f>P7/O7</f>
        <v/>
      </c>
      <c r="R7" s="41">
        <f>Q7*3.30578512</f>
        <v/>
      </c>
      <c r="S7" s="11" t="n">
        <v>929291</v>
      </c>
      <c r="T7" s="31" t="n">
        <v>25142992</v>
      </c>
      <c r="U7" s="40">
        <f>T7/S7</f>
        <v/>
      </c>
      <c r="V7" s="41">
        <f>U7*3.30578512</f>
        <v/>
      </c>
      <c r="W7" s="11" t="n">
        <v>624765</v>
      </c>
      <c r="X7" s="31" t="n">
        <v>12090194</v>
      </c>
      <c r="Y7" s="40">
        <f>X7/W7</f>
        <v/>
      </c>
      <c r="Z7" s="41">
        <f>Y7*3.30578512</f>
        <v/>
      </c>
      <c r="AA7" s="11" t="n">
        <v>896466</v>
      </c>
      <c r="AB7" s="31" t="n">
        <v>21601128</v>
      </c>
      <c r="AC7" s="40">
        <f>AB7/AA7</f>
        <v/>
      </c>
      <c r="AD7" s="41">
        <f>AC7*3.30578512</f>
        <v/>
      </c>
      <c r="AE7" s="11" t="n">
        <v>674375</v>
      </c>
      <c r="AF7" s="31" t="n">
        <v>12666144</v>
      </c>
      <c r="AG7" s="40">
        <f>AF7/AE7</f>
        <v/>
      </c>
      <c r="AH7" s="41">
        <f>AG7*3.30578512</f>
        <v/>
      </c>
      <c r="AI7" s="11" t="n">
        <v>693613</v>
      </c>
      <c r="AJ7" s="31" t="n">
        <v>18737249</v>
      </c>
      <c r="AK7" s="40">
        <f>AJ7/AI7</f>
        <v/>
      </c>
      <c r="AL7" s="41">
        <f>AK7*3.30578512</f>
        <v/>
      </c>
      <c r="AM7" s="11" t="n">
        <v>543075</v>
      </c>
      <c r="AN7" s="31" t="n">
        <v>15759087</v>
      </c>
      <c r="AO7" s="40">
        <f>AN7/AM7</f>
        <v/>
      </c>
      <c r="AP7" s="41">
        <f>AO7*3.30578512</f>
        <v/>
      </c>
      <c r="AQ7" s="11" t="n">
        <v>705775</v>
      </c>
      <c r="AR7" s="31" t="n">
        <v>19656272</v>
      </c>
      <c r="AS7" s="40">
        <f>AR7/AQ7</f>
        <v/>
      </c>
      <c r="AT7" s="41">
        <f>AS7*3.30578512</f>
        <v/>
      </c>
      <c r="AU7" s="11" t="n">
        <v>575926</v>
      </c>
      <c r="AV7" s="31" t="n">
        <v>14206123</v>
      </c>
      <c r="AW7" s="40">
        <f>AV7/AU7</f>
        <v/>
      </c>
      <c r="AX7" s="41">
        <f>AW7*3.30578512</f>
        <v/>
      </c>
      <c r="AY7" s="11" t="n">
        <v>663086</v>
      </c>
      <c r="AZ7" s="31" t="n">
        <v>18570676</v>
      </c>
      <c r="BA7" s="40">
        <f>AZ7/AY7</f>
        <v/>
      </c>
      <c r="BB7" s="41">
        <f>BA7*3.30578512</f>
        <v/>
      </c>
      <c r="BC7" s="11" t="n">
        <v>518150</v>
      </c>
      <c r="BD7" s="31" t="n">
        <v>13016740</v>
      </c>
      <c r="BE7" s="40">
        <f>BD7/BC7</f>
        <v/>
      </c>
      <c r="BF7" s="41">
        <f>BE7*3.30578512</f>
        <v/>
      </c>
      <c r="BG7" s="11" t="n">
        <v>538992</v>
      </c>
      <c r="BH7" s="31" t="n">
        <v>13018503</v>
      </c>
      <c r="BI7" s="40">
        <f>BH7/BG7</f>
        <v/>
      </c>
      <c r="BJ7" s="41">
        <f>BI7*3.30578512</f>
        <v/>
      </c>
      <c r="BK7" s="11" t="n">
        <v>531918</v>
      </c>
      <c r="BL7" s="31" t="n">
        <v>15139970</v>
      </c>
      <c r="BM7" s="40">
        <f>BL7/BK7</f>
        <v/>
      </c>
      <c r="BN7" s="41">
        <f>BM7*3.30578512</f>
        <v/>
      </c>
      <c r="BO7" s="11" t="n">
        <v>869886</v>
      </c>
      <c r="BP7" s="31" t="n">
        <v>25825737</v>
      </c>
      <c r="BQ7" s="40">
        <f>BP7/BO7</f>
        <v/>
      </c>
      <c r="BR7" s="41">
        <f>BQ7*3.30578512</f>
        <v/>
      </c>
      <c r="BS7" s="11" t="n">
        <v>435893</v>
      </c>
      <c r="BT7" s="31" t="n">
        <v>11764341</v>
      </c>
      <c r="BU7" s="40">
        <f>BT7/BS7</f>
        <v/>
      </c>
      <c r="BV7" s="41">
        <f>BU7*3.30578512</f>
        <v/>
      </c>
      <c r="BW7" s="11" t="n">
        <v>527697</v>
      </c>
      <c r="BX7" s="31" t="n">
        <v>18187780</v>
      </c>
      <c r="BY7" s="40">
        <f>BX7/BW7</f>
        <v/>
      </c>
      <c r="BZ7" s="41">
        <f>BY7*3.30578512</f>
        <v/>
      </c>
      <c r="CA7" s="11" t="n">
        <v>509297</v>
      </c>
      <c r="CB7" s="31" t="n">
        <v>15393273</v>
      </c>
      <c r="CC7" s="40">
        <f>CB7/CA7</f>
        <v/>
      </c>
      <c r="CD7" s="41">
        <f>CC7*3.30578512</f>
        <v/>
      </c>
      <c r="CE7" s="11" t="n">
        <v>361341</v>
      </c>
      <c r="CF7" s="31" t="n">
        <v>9577597</v>
      </c>
      <c r="CG7" s="40">
        <f>CF7/CE7</f>
        <v/>
      </c>
      <c r="CH7" s="41">
        <f>CG7*3.30578512</f>
        <v/>
      </c>
      <c r="CI7" s="11" t="n">
        <v>769521</v>
      </c>
      <c r="CJ7" s="31" t="n">
        <v>36413143</v>
      </c>
      <c r="CK7" s="40">
        <f>CJ7/CI7</f>
        <v/>
      </c>
      <c r="CL7" s="41">
        <f>CK7*3.30578512</f>
        <v/>
      </c>
      <c r="CM7" s="11" t="n">
        <v>522592</v>
      </c>
      <c r="CN7" s="31" t="n">
        <v>20713834</v>
      </c>
      <c r="CO7" s="40">
        <f>CN7/CM7</f>
        <v/>
      </c>
      <c r="CP7" s="41">
        <f>CO7*3.30578512</f>
        <v/>
      </c>
      <c r="CQ7" s="11" t="n">
        <v>629812</v>
      </c>
      <c r="CR7" s="31" t="n">
        <v>24095807</v>
      </c>
      <c r="CS7" s="40">
        <f>CR7/CQ7</f>
        <v/>
      </c>
      <c r="CT7" s="41">
        <f>CS7*3.30578512</f>
        <v/>
      </c>
      <c r="CU7" s="11" t="n">
        <v>530454</v>
      </c>
      <c r="CV7" s="31" t="n">
        <v>15670166</v>
      </c>
      <c r="CW7" s="40">
        <f>CV7/CU7</f>
        <v/>
      </c>
      <c r="CX7" s="41">
        <f>CW7*3.30578512</f>
        <v/>
      </c>
      <c r="CY7" s="11" t="n">
        <v>704081</v>
      </c>
      <c r="CZ7" s="31" t="n">
        <v>25256331</v>
      </c>
      <c r="DA7" s="40">
        <f>CZ7/CY7</f>
        <v/>
      </c>
      <c r="DB7" s="41">
        <f>DA7*3.30578512</f>
        <v/>
      </c>
      <c r="DC7" s="11" t="n">
        <v>521230</v>
      </c>
      <c r="DD7" s="31" t="n">
        <v>15818107</v>
      </c>
      <c r="DE7" s="40">
        <f>DD7/DC7</f>
        <v/>
      </c>
      <c r="DF7" s="41">
        <f>DE7*3.30578512</f>
        <v/>
      </c>
      <c r="DG7" s="11" t="n">
        <v>539736</v>
      </c>
      <c r="DH7" s="31" t="n">
        <v>20160905</v>
      </c>
      <c r="DI7" s="40">
        <f>DH7/DG7</f>
        <v/>
      </c>
      <c r="DJ7" s="41">
        <f>DI7*3.30578512</f>
        <v/>
      </c>
      <c r="DK7" s="11" t="n">
        <v>765476</v>
      </c>
      <c r="DL7" s="31" t="n">
        <v>27470352</v>
      </c>
      <c r="DM7" s="40">
        <f>DL7/DK7</f>
        <v/>
      </c>
      <c r="DN7" s="41">
        <f>DM7*3.30578512</f>
        <v/>
      </c>
      <c r="DO7" s="11" t="n">
        <v>461489</v>
      </c>
      <c r="DP7" s="31" t="n">
        <v>15973688</v>
      </c>
      <c r="DQ7" s="40">
        <f>DP7/DO7</f>
        <v/>
      </c>
      <c r="DR7" s="41">
        <f>DQ7*3.30578512</f>
        <v/>
      </c>
      <c r="DS7" s="11" t="n">
        <v>541315</v>
      </c>
      <c r="DT7" s="31" t="n">
        <v>16496767</v>
      </c>
      <c r="DU7" s="40">
        <f>DT7/DS7</f>
        <v/>
      </c>
      <c r="DV7" s="41">
        <f>DU7*3.30578512</f>
        <v/>
      </c>
      <c r="DW7" s="11" t="n">
        <v>515771</v>
      </c>
      <c r="DX7" s="31" t="n">
        <v>15552540</v>
      </c>
      <c r="DY7" s="40">
        <f>DX7/DW7</f>
        <v/>
      </c>
      <c r="DZ7" s="41">
        <f>DY7*3.30578512</f>
        <v/>
      </c>
      <c r="EA7" s="11" t="n">
        <v>664134</v>
      </c>
      <c r="EB7" s="31" t="n">
        <v>28924634</v>
      </c>
      <c r="EC7" s="40">
        <f>EB7/EA7</f>
        <v/>
      </c>
      <c r="ED7" s="41">
        <f>EC7*3.30578512</f>
        <v/>
      </c>
      <c r="EE7" s="11" t="n">
        <v>588359</v>
      </c>
      <c r="EF7" s="31" t="n">
        <v>19307098</v>
      </c>
      <c r="EG7" s="40">
        <f>EF7/EE7</f>
        <v/>
      </c>
      <c r="EH7" s="41">
        <f>EG7*3.30578512</f>
        <v/>
      </c>
      <c r="EI7" s="11" t="n">
        <v>584507</v>
      </c>
      <c r="EJ7" s="31" t="n">
        <v>24734102</v>
      </c>
      <c r="EK7" s="40">
        <f>EJ7/EI7</f>
        <v/>
      </c>
      <c r="EL7" s="41">
        <f>EK7*3.30578512</f>
        <v/>
      </c>
      <c r="EM7" s="11" t="n">
        <v>458530</v>
      </c>
      <c r="EN7" s="31" t="n">
        <v>13199930</v>
      </c>
      <c r="EO7" s="40">
        <f>EN7/EM7</f>
        <v/>
      </c>
      <c r="EP7" s="41">
        <f>EO7*3.30578512</f>
        <v/>
      </c>
      <c r="EQ7" s="11" t="n">
        <v>498123</v>
      </c>
      <c r="ER7" s="31" t="n">
        <v>16397926</v>
      </c>
      <c r="ES7" s="40">
        <f>ER7/EQ7</f>
        <v/>
      </c>
      <c r="ET7" s="41">
        <f>ES7*3.30578512</f>
        <v/>
      </c>
      <c r="EU7" s="11" t="n">
        <v>361898</v>
      </c>
      <c r="EV7" s="31" t="n">
        <v>14097828.59613</v>
      </c>
      <c r="EW7" s="40">
        <f>EV7/EU7</f>
        <v/>
      </c>
      <c r="EX7" s="41">
        <f>EW7*3.30578512</f>
        <v/>
      </c>
      <c r="EY7" s="11" t="n">
        <v>448540</v>
      </c>
      <c r="EZ7" s="31" t="n">
        <v>20530172.24364</v>
      </c>
      <c r="FA7" s="40">
        <f>EZ7/EY7</f>
        <v/>
      </c>
      <c r="FB7" s="41">
        <f>FA7*3.30578512</f>
        <v/>
      </c>
      <c r="FC7" s="11" t="n">
        <v>407575</v>
      </c>
      <c r="FD7" s="31" t="n">
        <v>14030443.00471</v>
      </c>
      <c r="FE7" s="40">
        <f>FD7/FC7</f>
        <v/>
      </c>
      <c r="FF7" s="41">
        <f>FE7*3.30578512</f>
        <v/>
      </c>
      <c r="FG7" s="11" t="n">
        <v>619321</v>
      </c>
      <c r="FH7" s="31" t="n">
        <v>21840277.45798</v>
      </c>
      <c r="FI7" s="40">
        <f>FH7/FG7</f>
        <v/>
      </c>
      <c r="FJ7" s="41">
        <f>FI7*3.30578512</f>
        <v/>
      </c>
      <c r="FK7" s="11" t="n">
        <v>595452</v>
      </c>
      <c r="FL7" s="31" t="n">
        <v>26572300.91447</v>
      </c>
      <c r="FM7" s="40">
        <f>FL7/FK7</f>
        <v/>
      </c>
      <c r="FN7" s="41">
        <f>FM7*3.30578512</f>
        <v/>
      </c>
      <c r="FO7" s="11" t="n"/>
      <c r="FP7" s="31" t="n"/>
      <c r="FQ7" s="40">
        <f>FP7/FO7</f>
        <v/>
      </c>
      <c r="FR7" s="41">
        <f>FQ7*3.30578512</f>
        <v/>
      </c>
      <c r="FS7" s="11" t="n"/>
      <c r="FT7" s="31" t="n"/>
      <c r="FU7" s="40">
        <f>FT7/FS7</f>
        <v/>
      </c>
      <c r="FV7" s="41">
        <f>FU7*3.30578512</f>
        <v/>
      </c>
      <c r="FW7" s="11" t="n"/>
      <c r="FX7" s="31" t="n"/>
      <c r="FY7" s="40">
        <f>FX7/FW7</f>
        <v/>
      </c>
      <c r="FZ7" s="41">
        <f>FY7*3.30578512</f>
        <v/>
      </c>
    </row>
    <row r="8">
      <c r="B8" s="2" t="inlineStr">
        <is>
          <t>倉庫</t>
        </is>
      </c>
      <c r="C8" s="11" t="n">
        <v>6068912</v>
      </c>
      <c r="D8" s="31" t="n">
        <v>71338916</v>
      </c>
      <c r="E8" s="40">
        <f>D8/C8</f>
        <v/>
      </c>
      <c r="F8" s="41">
        <f>E8*3.30578512</f>
        <v/>
      </c>
      <c r="G8" s="11" t="n">
        <v>835125</v>
      </c>
      <c r="H8" s="31" t="n">
        <v>10518520</v>
      </c>
      <c r="I8" s="40">
        <f>H8/G8</f>
        <v/>
      </c>
      <c r="J8" s="41">
        <f>I8*3.30578512</f>
        <v/>
      </c>
      <c r="K8" s="11" t="n">
        <v>775039</v>
      </c>
      <c r="L8" s="31" t="n">
        <v>10489793</v>
      </c>
      <c r="M8" s="40">
        <f>L8/K8</f>
        <v/>
      </c>
      <c r="N8" s="41">
        <f>M8*3.30578512</f>
        <v/>
      </c>
      <c r="O8" s="11" t="n">
        <v>912194</v>
      </c>
      <c r="P8" s="31" t="n">
        <v>11744726</v>
      </c>
      <c r="Q8" s="40">
        <f>P8/O8</f>
        <v/>
      </c>
      <c r="R8" s="41">
        <f>Q8*3.30578512</f>
        <v/>
      </c>
      <c r="S8" s="11" t="n">
        <v>881069</v>
      </c>
      <c r="T8" s="31" t="n">
        <v>11962789</v>
      </c>
      <c r="U8" s="40">
        <f>T8/S8</f>
        <v/>
      </c>
      <c r="V8" s="41">
        <f>U8*3.30578512</f>
        <v/>
      </c>
      <c r="W8" s="11" t="n">
        <v>852317</v>
      </c>
      <c r="X8" s="31" t="n">
        <v>11001456</v>
      </c>
      <c r="Y8" s="40">
        <f>X8/W8</f>
        <v/>
      </c>
      <c r="Z8" s="41">
        <f>Y8*3.30578512</f>
        <v/>
      </c>
      <c r="AA8" s="11" t="n">
        <v>963165</v>
      </c>
      <c r="AB8" s="31" t="n">
        <v>13762764</v>
      </c>
      <c r="AC8" s="40">
        <f>AB8/AA8</f>
        <v/>
      </c>
      <c r="AD8" s="41">
        <f>AC8*3.30578512</f>
        <v/>
      </c>
      <c r="AE8" s="11" t="n">
        <v>931010</v>
      </c>
      <c r="AF8" s="31" t="n">
        <v>14396013</v>
      </c>
      <c r="AG8" s="40">
        <f>AF8/AE8</f>
        <v/>
      </c>
      <c r="AH8" s="41">
        <f>AG8*3.30578512</f>
        <v/>
      </c>
      <c r="AI8" s="11" t="n">
        <v>660707</v>
      </c>
      <c r="AJ8" s="31" t="n">
        <v>9569279</v>
      </c>
      <c r="AK8" s="40">
        <f>AJ8/AI8</f>
        <v/>
      </c>
      <c r="AL8" s="41">
        <f>AK8*3.30578512</f>
        <v/>
      </c>
      <c r="AM8" s="11" t="n">
        <v>572632</v>
      </c>
      <c r="AN8" s="31" t="n">
        <v>8144155</v>
      </c>
      <c r="AO8" s="40">
        <f>AN8/AM8</f>
        <v/>
      </c>
      <c r="AP8" s="41">
        <f>AO8*3.30578512</f>
        <v/>
      </c>
      <c r="AQ8" s="11" t="n">
        <v>462154</v>
      </c>
      <c r="AR8" s="31" t="n">
        <v>7709515</v>
      </c>
      <c r="AS8" s="40">
        <f>AR8/AQ8</f>
        <v/>
      </c>
      <c r="AT8" s="41">
        <f>AS8*3.30578512</f>
        <v/>
      </c>
      <c r="AU8" s="11" t="n">
        <v>600119</v>
      </c>
      <c r="AV8" s="31" t="n">
        <v>8565731</v>
      </c>
      <c r="AW8" s="40">
        <f>AV8/AU8</f>
        <v/>
      </c>
      <c r="AX8" s="41">
        <f>AW8*3.30578512</f>
        <v/>
      </c>
      <c r="AY8" s="11" t="n">
        <v>672464</v>
      </c>
      <c r="AZ8" s="31" t="n">
        <v>9951811</v>
      </c>
      <c r="BA8" s="40">
        <f>AZ8/AY8</f>
        <v/>
      </c>
      <c r="BB8" s="41">
        <f>BA8*3.30578512</f>
        <v/>
      </c>
      <c r="BC8" s="11" t="n">
        <v>674938</v>
      </c>
      <c r="BD8" s="31" t="n">
        <v>10530530</v>
      </c>
      <c r="BE8" s="40">
        <f>BD8/BC8</f>
        <v/>
      </c>
      <c r="BF8" s="41">
        <f>BE8*3.30578512</f>
        <v/>
      </c>
      <c r="BG8" s="11" t="n">
        <v>900471</v>
      </c>
      <c r="BH8" s="31" t="n">
        <v>12993465</v>
      </c>
      <c r="BI8" s="40">
        <f>BH8/BG8</f>
        <v/>
      </c>
      <c r="BJ8" s="41">
        <f>BI8*3.30578512</f>
        <v/>
      </c>
      <c r="BK8" s="11" t="n">
        <v>346787</v>
      </c>
      <c r="BL8" s="31" t="n">
        <v>5546101</v>
      </c>
      <c r="BM8" s="40">
        <f>BL8/BK8</f>
        <v/>
      </c>
      <c r="BN8" s="41">
        <f>BM8*3.30578512</f>
        <v/>
      </c>
      <c r="BO8" s="11" t="n">
        <v>1025089</v>
      </c>
      <c r="BP8" s="31" t="n">
        <v>14773342</v>
      </c>
      <c r="BQ8" s="40">
        <f>BP8/BO8</f>
        <v/>
      </c>
      <c r="BR8" s="41">
        <f>BQ8*3.30578512</f>
        <v/>
      </c>
      <c r="BS8" s="11" t="n">
        <v>564527</v>
      </c>
      <c r="BT8" s="31" t="n">
        <v>8541089</v>
      </c>
      <c r="BU8" s="40">
        <f>BT8/BS8</f>
        <v/>
      </c>
      <c r="BV8" s="41">
        <f>BU8*3.30578512</f>
        <v/>
      </c>
      <c r="BW8" s="11" t="n">
        <v>498046</v>
      </c>
      <c r="BX8" s="31" t="n">
        <v>8652166</v>
      </c>
      <c r="BY8" s="40">
        <f>BX8/BW8</f>
        <v/>
      </c>
      <c r="BZ8" s="41">
        <f>BY8*3.30578512</f>
        <v/>
      </c>
      <c r="CA8" s="11" t="n">
        <v>489596</v>
      </c>
      <c r="CB8" s="31" t="n">
        <v>7565679</v>
      </c>
      <c r="CC8" s="40">
        <f>CB8/CA8</f>
        <v/>
      </c>
      <c r="CD8" s="41">
        <f>CC8*3.30578512</f>
        <v/>
      </c>
      <c r="CE8" s="11" t="n">
        <v>674749</v>
      </c>
      <c r="CF8" s="31" t="n">
        <v>11295329</v>
      </c>
      <c r="CG8" s="40">
        <f>CF8/CE8</f>
        <v/>
      </c>
      <c r="CH8" s="41">
        <f>CG8*3.30578512</f>
        <v/>
      </c>
      <c r="CI8" s="11" t="n">
        <v>566910</v>
      </c>
      <c r="CJ8" s="31" t="n">
        <v>10583923</v>
      </c>
      <c r="CK8" s="40">
        <f>CJ8/CI8</f>
        <v/>
      </c>
      <c r="CL8" s="41">
        <f>CK8*3.30578512</f>
        <v/>
      </c>
      <c r="CM8" s="11" t="n">
        <v>813132</v>
      </c>
      <c r="CN8" s="31" t="n">
        <v>17541418</v>
      </c>
      <c r="CO8" s="40">
        <f>CN8/CM8</f>
        <v/>
      </c>
      <c r="CP8" s="41">
        <f>CO8*3.30578512</f>
        <v/>
      </c>
      <c r="CQ8" s="11" t="n">
        <v>431285</v>
      </c>
      <c r="CR8" s="31" t="n">
        <v>7939075</v>
      </c>
      <c r="CS8" s="40">
        <f>CR8/CQ8</f>
        <v/>
      </c>
      <c r="CT8" s="41">
        <f>CS8*3.30578512</f>
        <v/>
      </c>
      <c r="CU8" s="11" t="n">
        <v>547167</v>
      </c>
      <c r="CV8" s="31" t="n">
        <v>8335203</v>
      </c>
      <c r="CW8" s="40">
        <f>CV8/CU8</f>
        <v/>
      </c>
      <c r="CX8" s="41">
        <f>CW8*3.30578512</f>
        <v/>
      </c>
      <c r="CY8" s="11" t="n">
        <v>471248</v>
      </c>
      <c r="CZ8" s="31" t="n">
        <v>7460266</v>
      </c>
      <c r="DA8" s="40">
        <f>CZ8/CY8</f>
        <v/>
      </c>
      <c r="DB8" s="41">
        <f>DA8*3.30578512</f>
        <v/>
      </c>
      <c r="DC8" s="11" t="n">
        <v>769671</v>
      </c>
      <c r="DD8" s="31" t="n">
        <v>12584915</v>
      </c>
      <c r="DE8" s="40">
        <f>DD8/DC8</f>
        <v/>
      </c>
      <c r="DF8" s="41">
        <f>DE8*3.30578512</f>
        <v/>
      </c>
      <c r="DG8" s="11" t="n">
        <v>535000</v>
      </c>
      <c r="DH8" s="31" t="n">
        <v>9907385</v>
      </c>
      <c r="DI8" s="40">
        <f>DH8/DG8</f>
        <v/>
      </c>
      <c r="DJ8" s="41">
        <f>DI8*3.30578512</f>
        <v/>
      </c>
      <c r="DK8" s="11" t="n">
        <v>633476</v>
      </c>
      <c r="DL8" s="31" t="n">
        <v>11687494</v>
      </c>
      <c r="DM8" s="40">
        <f>DL8/DK8</f>
        <v/>
      </c>
      <c r="DN8" s="41">
        <f>DM8*3.30578512</f>
        <v/>
      </c>
      <c r="DO8" s="11" t="n">
        <v>534316</v>
      </c>
      <c r="DP8" s="31" t="n">
        <v>8145786</v>
      </c>
      <c r="DQ8" s="40">
        <f>DP8/DO8</f>
        <v/>
      </c>
      <c r="DR8" s="41">
        <f>DQ8*3.30578512</f>
        <v/>
      </c>
      <c r="DS8" s="11" t="n">
        <v>824075</v>
      </c>
      <c r="DT8" s="31" t="n">
        <v>13859993</v>
      </c>
      <c r="DU8" s="40">
        <f>DT8/DS8</f>
        <v/>
      </c>
      <c r="DV8" s="41">
        <f>DU8*3.30578512</f>
        <v/>
      </c>
      <c r="DW8" s="11" t="n">
        <v>533993</v>
      </c>
      <c r="DX8" s="31" t="n">
        <v>9059516</v>
      </c>
      <c r="DY8" s="40">
        <f>DX8/DW8</f>
        <v/>
      </c>
      <c r="DZ8" s="41">
        <f>DY8*3.30578512</f>
        <v/>
      </c>
      <c r="EA8" s="11" t="n">
        <v>422016</v>
      </c>
      <c r="EB8" s="31" t="n">
        <v>10597770</v>
      </c>
      <c r="EC8" s="40">
        <f>EB8/EA8</f>
        <v/>
      </c>
      <c r="ED8" s="41">
        <f>EC8*3.30578512</f>
        <v/>
      </c>
      <c r="EE8" s="11" t="n">
        <v>918818</v>
      </c>
      <c r="EF8" s="31" t="n">
        <v>16429638</v>
      </c>
      <c r="EG8" s="40">
        <f>EF8/EE8</f>
        <v/>
      </c>
      <c r="EH8" s="41">
        <f>EG8*3.30578512</f>
        <v/>
      </c>
      <c r="EI8" s="11" t="n">
        <v>672820</v>
      </c>
      <c r="EJ8" s="31" t="n">
        <v>10715865</v>
      </c>
      <c r="EK8" s="40">
        <f>EJ8/EI8</f>
        <v/>
      </c>
      <c r="EL8" s="41">
        <f>EK8*3.30578512</f>
        <v/>
      </c>
      <c r="EM8" s="11" t="n">
        <v>859998</v>
      </c>
      <c r="EN8" s="31" t="n">
        <v>17432970</v>
      </c>
      <c r="EO8" s="40">
        <f>EN8/EM8</f>
        <v/>
      </c>
      <c r="EP8" s="41">
        <f>EO8*3.30578512</f>
        <v/>
      </c>
      <c r="EQ8" s="11" t="n">
        <v>685091</v>
      </c>
      <c r="ER8" s="31" t="n">
        <v>12932026</v>
      </c>
      <c r="ES8" s="40">
        <f>ER8/EQ8</f>
        <v/>
      </c>
      <c r="ET8" s="41">
        <f>ES8*3.30578512</f>
        <v/>
      </c>
      <c r="EU8" s="11" t="n">
        <v>637391</v>
      </c>
      <c r="EV8" s="31" t="n">
        <v>14475454.82282</v>
      </c>
      <c r="EW8" s="40">
        <f>EV8/EU8</f>
        <v/>
      </c>
      <c r="EX8" s="41">
        <f>EW8*3.30578512</f>
        <v/>
      </c>
      <c r="EY8" s="11" t="n">
        <v>846196</v>
      </c>
      <c r="EZ8" s="31" t="n">
        <v>17147340.94061</v>
      </c>
      <c r="FA8" s="40">
        <f>EZ8/EY8</f>
        <v/>
      </c>
      <c r="FB8" s="41">
        <f>FA8*3.30578512</f>
        <v/>
      </c>
      <c r="FC8" s="11" t="n">
        <v>450890</v>
      </c>
      <c r="FD8" s="31" t="n">
        <v>8036493.10548</v>
      </c>
      <c r="FE8" s="40">
        <f>FD8/FC8</f>
        <v/>
      </c>
      <c r="FF8" s="41">
        <f>FE8*3.30578512</f>
        <v/>
      </c>
      <c r="FG8" s="11" t="n">
        <v>462406</v>
      </c>
      <c r="FH8" s="31" t="n">
        <v>9510154.606899999</v>
      </c>
      <c r="FI8" s="40">
        <f>FH8/FG8</f>
        <v/>
      </c>
      <c r="FJ8" s="41">
        <f>FI8*3.30578512</f>
        <v/>
      </c>
      <c r="FK8" s="11" t="n">
        <v>655850</v>
      </c>
      <c r="FL8" s="31" t="n">
        <v>14292665.62327</v>
      </c>
      <c r="FM8" s="40">
        <f>FL8/FK8</f>
        <v/>
      </c>
      <c r="FN8" s="41">
        <f>FM8*3.30578512</f>
        <v/>
      </c>
      <c r="FO8" s="11" t="n"/>
      <c r="FP8" s="31" t="n"/>
      <c r="FQ8" s="40">
        <f>FP8/FO8</f>
        <v/>
      </c>
      <c r="FR8" s="41">
        <f>FQ8*3.30578512</f>
        <v/>
      </c>
      <c r="FS8" s="11" t="n"/>
      <c r="FT8" s="31" t="n"/>
      <c r="FU8" s="40">
        <f>FT8/FS8</f>
        <v/>
      </c>
      <c r="FV8" s="41">
        <f>FU8*3.30578512</f>
        <v/>
      </c>
      <c r="FW8" s="11" t="n"/>
      <c r="FX8" s="31" t="n"/>
      <c r="FY8" s="40">
        <f>FX8/FW8</f>
        <v/>
      </c>
      <c r="FZ8" s="41">
        <f>FY8*3.30578512</f>
        <v/>
      </c>
    </row>
    <row r="9">
      <c r="B9" s="2" t="inlineStr">
        <is>
          <t>学校の校舎</t>
        </is>
      </c>
      <c r="C9" s="11" t="n">
        <v>1386294</v>
      </c>
      <c r="D9" s="31" t="n">
        <v>32660664</v>
      </c>
      <c r="E9" s="40">
        <f>D9/C9</f>
        <v/>
      </c>
      <c r="F9" s="41">
        <f>E9*3.30578512</f>
        <v/>
      </c>
      <c r="G9" s="11" t="n">
        <v>41707</v>
      </c>
      <c r="H9" s="31" t="n">
        <v>1257098</v>
      </c>
      <c r="I9" s="40">
        <f>H9/G9</f>
        <v/>
      </c>
      <c r="J9" s="41">
        <f>I9*3.30578512</f>
        <v/>
      </c>
      <c r="K9" s="11" t="n">
        <v>46099</v>
      </c>
      <c r="L9" s="31" t="n">
        <v>817146</v>
      </c>
      <c r="M9" s="40">
        <f>L9/K9</f>
        <v/>
      </c>
      <c r="N9" s="41">
        <f>M9*3.30578512</f>
        <v/>
      </c>
      <c r="O9" s="11" t="n">
        <v>28892</v>
      </c>
      <c r="P9" s="31" t="n">
        <v>615910</v>
      </c>
      <c r="Q9" s="40">
        <f>P9/O9</f>
        <v/>
      </c>
      <c r="R9" s="41">
        <f>Q9*3.30578512</f>
        <v/>
      </c>
      <c r="S9" s="11" t="n">
        <v>55420</v>
      </c>
      <c r="T9" s="31" t="n">
        <v>1672270</v>
      </c>
      <c r="U9" s="40">
        <f>T9/S9</f>
        <v/>
      </c>
      <c r="V9" s="41">
        <f>U9*3.30578512</f>
        <v/>
      </c>
      <c r="W9" s="11" t="n">
        <v>101064</v>
      </c>
      <c r="X9" s="31" t="n">
        <v>3428795</v>
      </c>
      <c r="Y9" s="40">
        <f>X9/W9</f>
        <v/>
      </c>
      <c r="Z9" s="41">
        <f>Y9*3.30578512</f>
        <v/>
      </c>
      <c r="AA9" s="11" t="n">
        <v>159002</v>
      </c>
      <c r="AB9" s="31" t="n">
        <v>4075445</v>
      </c>
      <c r="AC9" s="40">
        <f>AB9/AA9</f>
        <v/>
      </c>
      <c r="AD9" s="41">
        <f>AC9*3.30578512</f>
        <v/>
      </c>
      <c r="AE9" s="11" t="n">
        <v>104728</v>
      </c>
      <c r="AF9" s="31" t="n">
        <v>2873377</v>
      </c>
      <c r="AG9" s="40">
        <f>AF9/AE9</f>
        <v/>
      </c>
      <c r="AH9" s="41">
        <f>AG9*3.30578512</f>
        <v/>
      </c>
      <c r="AI9" s="11" t="n">
        <v>144121</v>
      </c>
      <c r="AJ9" s="31" t="n">
        <v>5453098</v>
      </c>
      <c r="AK9" s="40">
        <f>AJ9/AI9</f>
        <v/>
      </c>
      <c r="AL9" s="41">
        <f>AK9*3.30578512</f>
        <v/>
      </c>
      <c r="AM9" s="11" t="n">
        <v>72391</v>
      </c>
      <c r="AN9" s="31" t="n">
        <v>1663524</v>
      </c>
      <c r="AO9" s="40">
        <f>AN9/AM9</f>
        <v/>
      </c>
      <c r="AP9" s="41">
        <f>AO9*3.30578512</f>
        <v/>
      </c>
      <c r="AQ9" s="11" t="n">
        <v>109123</v>
      </c>
      <c r="AR9" s="31" t="n">
        <v>2766055</v>
      </c>
      <c r="AS9" s="40">
        <f>AR9/AQ9</f>
        <v/>
      </c>
      <c r="AT9" s="41">
        <f>AS9*3.30578512</f>
        <v/>
      </c>
      <c r="AU9" s="11" t="n">
        <v>202225</v>
      </c>
      <c r="AV9" s="31" t="n">
        <v>6923977</v>
      </c>
      <c r="AW9" s="40">
        <f>AV9/AU9</f>
        <v/>
      </c>
      <c r="AX9" s="41">
        <f>AW9*3.30578512</f>
        <v/>
      </c>
      <c r="AY9" s="11" t="n">
        <v>43313</v>
      </c>
      <c r="AZ9" s="31" t="n">
        <v>1096098</v>
      </c>
      <c r="BA9" s="40">
        <f>AZ9/AY9</f>
        <v/>
      </c>
      <c r="BB9" s="41">
        <f>BA9*3.30578512</f>
        <v/>
      </c>
      <c r="BC9" s="11" t="n">
        <v>39246</v>
      </c>
      <c r="BD9" s="31" t="n">
        <v>944029</v>
      </c>
      <c r="BE9" s="40">
        <f>BD9/BC9</f>
        <v/>
      </c>
      <c r="BF9" s="41">
        <f>BE9*3.30578512</f>
        <v/>
      </c>
      <c r="BG9" s="11" t="n">
        <v>59265</v>
      </c>
      <c r="BH9" s="31" t="n">
        <v>1946253</v>
      </c>
      <c r="BI9" s="40">
        <f>BH9/BG9</f>
        <v/>
      </c>
      <c r="BJ9" s="41">
        <f>BI9*3.30578512</f>
        <v/>
      </c>
      <c r="BK9" s="11" t="n">
        <v>63893</v>
      </c>
      <c r="BL9" s="31" t="n">
        <v>1200093</v>
      </c>
      <c r="BM9" s="40">
        <f>BL9/BK9</f>
        <v/>
      </c>
      <c r="BN9" s="41">
        <f>BM9*3.30578512</f>
        <v/>
      </c>
      <c r="BO9" s="11" t="n">
        <v>113460</v>
      </c>
      <c r="BP9" s="31" t="n">
        <v>2994431</v>
      </c>
      <c r="BQ9" s="40">
        <f>BP9/BO9</f>
        <v/>
      </c>
      <c r="BR9" s="41">
        <f>BQ9*3.30578512</f>
        <v/>
      </c>
      <c r="BS9" s="11" t="n">
        <v>59127</v>
      </c>
      <c r="BT9" s="31" t="n">
        <v>1557736</v>
      </c>
      <c r="BU9" s="40">
        <f>BT9/BS9</f>
        <v/>
      </c>
      <c r="BV9" s="41">
        <f>BU9*3.30578512</f>
        <v/>
      </c>
      <c r="BW9" s="11" t="n">
        <v>74781</v>
      </c>
      <c r="BX9" s="31" t="n">
        <v>2690113</v>
      </c>
      <c r="BY9" s="40">
        <f>BX9/BW9</f>
        <v/>
      </c>
      <c r="BZ9" s="41">
        <f>BY9*3.30578512</f>
        <v/>
      </c>
      <c r="CA9" s="11" t="n">
        <v>95736</v>
      </c>
      <c r="CB9" s="31" t="n">
        <v>5035463</v>
      </c>
      <c r="CC9" s="40">
        <f>CB9/CA9</f>
        <v/>
      </c>
      <c r="CD9" s="41">
        <f>CC9*3.30578512</f>
        <v/>
      </c>
      <c r="CE9" s="11" t="n">
        <v>42496</v>
      </c>
      <c r="CF9" s="31" t="n">
        <v>1340424</v>
      </c>
      <c r="CG9" s="40">
        <f>CF9/CE9</f>
        <v/>
      </c>
      <c r="CH9" s="41">
        <f>CG9*3.30578512</f>
        <v/>
      </c>
      <c r="CI9" s="11" t="n">
        <v>66248</v>
      </c>
      <c r="CJ9" s="31" t="n">
        <v>1746260</v>
      </c>
      <c r="CK9" s="40">
        <f>CJ9/CI9</f>
        <v/>
      </c>
      <c r="CL9" s="41">
        <f>CK9*3.30578512</f>
        <v/>
      </c>
      <c r="CM9" s="11" t="n">
        <v>93038</v>
      </c>
      <c r="CN9" s="31" t="n">
        <v>2863704</v>
      </c>
      <c r="CO9" s="40">
        <f>CN9/CM9</f>
        <v/>
      </c>
      <c r="CP9" s="41">
        <f>CO9*3.30578512</f>
        <v/>
      </c>
      <c r="CQ9" s="11" t="n">
        <v>84806</v>
      </c>
      <c r="CR9" s="31" t="n">
        <v>3555254</v>
      </c>
      <c r="CS9" s="40">
        <f>CR9/CQ9</f>
        <v/>
      </c>
      <c r="CT9" s="41">
        <f>CS9*3.30578512</f>
        <v/>
      </c>
      <c r="CU9" s="11" t="n">
        <v>27220</v>
      </c>
      <c r="CV9" s="31" t="n">
        <v>791133</v>
      </c>
      <c r="CW9" s="40">
        <f>CV9/CU9</f>
        <v/>
      </c>
      <c r="CX9" s="41">
        <f>CW9*3.30578512</f>
        <v/>
      </c>
      <c r="CY9" s="11" t="n">
        <v>67724</v>
      </c>
      <c r="CZ9" s="31" t="n">
        <v>2787558</v>
      </c>
      <c r="DA9" s="40">
        <f>CZ9/CY9</f>
        <v/>
      </c>
      <c r="DB9" s="41">
        <f>DA9*3.30578512</f>
        <v/>
      </c>
      <c r="DC9" s="11" t="n">
        <v>79088</v>
      </c>
      <c r="DD9" s="31" t="n">
        <v>2635389</v>
      </c>
      <c r="DE9" s="40">
        <f>DD9/DC9</f>
        <v/>
      </c>
      <c r="DF9" s="41">
        <f>DE9*3.30578512</f>
        <v/>
      </c>
      <c r="DG9" s="11" t="n">
        <v>59923</v>
      </c>
      <c r="DH9" s="31" t="n">
        <v>1746024</v>
      </c>
      <c r="DI9" s="40">
        <f>DH9/DG9</f>
        <v/>
      </c>
      <c r="DJ9" s="41">
        <f>DI9*3.30578512</f>
        <v/>
      </c>
      <c r="DK9" s="11" t="n">
        <v>96462</v>
      </c>
      <c r="DL9" s="31" t="n">
        <v>3082989</v>
      </c>
      <c r="DM9" s="40">
        <f>DL9/DK9</f>
        <v/>
      </c>
      <c r="DN9" s="41">
        <f>DM9*3.30578512</f>
        <v/>
      </c>
      <c r="DO9" s="11" t="n">
        <v>41794</v>
      </c>
      <c r="DP9" s="31" t="n">
        <v>1429051</v>
      </c>
      <c r="DQ9" s="40">
        <f>DP9/DO9</f>
        <v/>
      </c>
      <c r="DR9" s="41">
        <f>DQ9*3.30578512</f>
        <v/>
      </c>
      <c r="DS9" s="11" t="n">
        <v>60645</v>
      </c>
      <c r="DT9" s="31" t="n">
        <v>1714198</v>
      </c>
      <c r="DU9" s="40">
        <f>DT9/DS9</f>
        <v/>
      </c>
      <c r="DV9" s="41">
        <f>DU9*3.30578512</f>
        <v/>
      </c>
      <c r="DW9" s="11" t="n">
        <v>76047</v>
      </c>
      <c r="DX9" s="31" t="n">
        <v>3006457</v>
      </c>
      <c r="DY9" s="40">
        <f>DX9/DW9</f>
        <v/>
      </c>
      <c r="DZ9" s="41">
        <f>DY9*3.30578512</f>
        <v/>
      </c>
      <c r="EA9" s="11" t="n">
        <v>38811</v>
      </c>
      <c r="EB9" s="31" t="n">
        <v>1172992</v>
      </c>
      <c r="EC9" s="40">
        <f>EB9/EA9</f>
        <v/>
      </c>
      <c r="ED9" s="41">
        <f>EC9*3.30578512</f>
        <v/>
      </c>
      <c r="EE9" s="11" t="n">
        <v>97907</v>
      </c>
      <c r="EF9" s="31" t="n">
        <v>3537671</v>
      </c>
      <c r="EG9" s="40">
        <f>EF9/EE9</f>
        <v/>
      </c>
      <c r="EH9" s="41">
        <f>EG9*3.30578512</f>
        <v/>
      </c>
      <c r="EI9" s="11" t="n">
        <v>127139</v>
      </c>
      <c r="EJ9" s="31" t="n">
        <v>6918704</v>
      </c>
      <c r="EK9" s="40">
        <f>EJ9/EI9</f>
        <v/>
      </c>
      <c r="EL9" s="41">
        <f>EK9*3.30578512</f>
        <v/>
      </c>
      <c r="EM9" s="11" t="n">
        <v>64270</v>
      </c>
      <c r="EN9" s="31" t="n">
        <v>1724033</v>
      </c>
      <c r="EO9" s="40">
        <f>EN9/EM9</f>
        <v/>
      </c>
      <c r="EP9" s="41">
        <f>EO9*3.30578512</f>
        <v/>
      </c>
      <c r="EQ9" s="11" t="n">
        <v>97785</v>
      </c>
      <c r="ER9" s="31" t="n">
        <v>2305605</v>
      </c>
      <c r="ES9" s="40">
        <f>ER9/EQ9</f>
        <v/>
      </c>
      <c r="ET9" s="41">
        <f>ES9*3.30578512</f>
        <v/>
      </c>
      <c r="EU9" s="11" t="n">
        <v>54215</v>
      </c>
      <c r="EV9" s="31" t="n">
        <v>2414176.81682</v>
      </c>
      <c r="EW9" s="40">
        <f>EV9/EU9</f>
        <v/>
      </c>
      <c r="EX9" s="41">
        <f>EW9*3.30578512</f>
        <v/>
      </c>
      <c r="EY9" s="11" t="n">
        <v>59521</v>
      </c>
      <c r="EZ9" s="31" t="n">
        <v>2046943.41553</v>
      </c>
      <c r="FA9" s="40">
        <f>EZ9/EY9</f>
        <v/>
      </c>
      <c r="FB9" s="41">
        <f>FA9*3.30578512</f>
        <v/>
      </c>
      <c r="FC9" s="11" t="n">
        <v>90752</v>
      </c>
      <c r="FD9" s="31" t="n">
        <v>3601431.78766</v>
      </c>
      <c r="FE9" s="40">
        <f>FD9/FC9</f>
        <v/>
      </c>
      <c r="FF9" s="41">
        <f>FE9*3.30578512</f>
        <v/>
      </c>
      <c r="FG9" s="11" t="n">
        <v>85456</v>
      </c>
      <c r="FH9" s="31" t="n">
        <v>2622310.28367</v>
      </c>
      <c r="FI9" s="40">
        <f>FH9/FG9</f>
        <v/>
      </c>
      <c r="FJ9" s="41">
        <f>FI9*3.30578512</f>
        <v/>
      </c>
      <c r="FK9" s="11" t="n">
        <v>58555</v>
      </c>
      <c r="FL9" s="31" t="n">
        <v>1998331.4924</v>
      </c>
      <c r="FM9" s="40">
        <f>FL9/FK9</f>
        <v/>
      </c>
      <c r="FN9" s="41">
        <f>FM9*3.30578512</f>
        <v/>
      </c>
      <c r="FO9" s="11" t="n"/>
      <c r="FP9" s="31" t="n"/>
      <c r="FQ9" s="40">
        <f>FP9/FO9</f>
        <v/>
      </c>
      <c r="FR9" s="41">
        <f>FQ9*3.30578512</f>
        <v/>
      </c>
      <c r="FS9" s="11" t="n"/>
      <c r="FT9" s="31" t="n"/>
      <c r="FU9" s="40">
        <f>FT9/FS9</f>
        <v/>
      </c>
      <c r="FV9" s="41">
        <f>FU9*3.30578512</f>
        <v/>
      </c>
      <c r="FW9" s="11" t="n"/>
      <c r="FX9" s="31" t="n"/>
      <c r="FY9" s="40">
        <f>FX9/FW9</f>
        <v/>
      </c>
      <c r="FZ9" s="41">
        <f>FY9*3.30578512</f>
        <v/>
      </c>
    </row>
    <row r="10">
      <c r="B10" s="2" t="inlineStr">
        <is>
          <t>病院・診療所</t>
        </is>
      </c>
      <c r="C10" s="11" t="n">
        <v>1106860</v>
      </c>
      <c r="D10" s="31" t="n">
        <v>32198273</v>
      </c>
      <c r="E10" s="40">
        <f>D10/C10</f>
        <v/>
      </c>
      <c r="F10" s="41">
        <f>E10*3.30578512</f>
        <v/>
      </c>
      <c r="G10" s="11" t="n">
        <v>57385</v>
      </c>
      <c r="H10" s="31" t="n">
        <v>1755028</v>
      </c>
      <c r="I10" s="40">
        <f>H10/G10</f>
        <v/>
      </c>
      <c r="J10" s="41">
        <f>I10*3.30578512</f>
        <v/>
      </c>
      <c r="K10" s="11" t="n">
        <v>43562</v>
      </c>
      <c r="L10" s="31" t="n">
        <v>1402723</v>
      </c>
      <c r="M10" s="40">
        <f>L10/K10</f>
        <v/>
      </c>
      <c r="N10" s="41">
        <f>M10*3.30578512</f>
        <v/>
      </c>
      <c r="O10" s="11" t="n">
        <v>82304</v>
      </c>
      <c r="P10" s="31" t="n">
        <v>2924934</v>
      </c>
      <c r="Q10" s="40">
        <f>P10/O10</f>
        <v/>
      </c>
      <c r="R10" s="41">
        <f>Q10*3.30578512</f>
        <v/>
      </c>
      <c r="S10" s="11" t="n">
        <v>96019</v>
      </c>
      <c r="T10" s="31" t="n">
        <v>3707881</v>
      </c>
      <c r="U10" s="40">
        <f>T10/S10</f>
        <v/>
      </c>
      <c r="V10" s="41">
        <f>U10*3.30578512</f>
        <v/>
      </c>
      <c r="W10" s="11" t="n">
        <v>43189</v>
      </c>
      <c r="X10" s="31" t="n">
        <v>1435762</v>
      </c>
      <c r="Y10" s="40">
        <f>X10/W10</f>
        <v/>
      </c>
      <c r="Z10" s="41">
        <f>Y10*3.30578512</f>
        <v/>
      </c>
      <c r="AA10" s="11" t="n">
        <v>28557</v>
      </c>
      <c r="AB10" s="31" t="n">
        <v>1059931</v>
      </c>
      <c r="AC10" s="40">
        <f>AB10/AA10</f>
        <v/>
      </c>
      <c r="AD10" s="41">
        <f>AC10*3.30578512</f>
        <v/>
      </c>
      <c r="AE10" s="11" t="n">
        <v>56783</v>
      </c>
      <c r="AF10" s="31" t="n">
        <v>2046138</v>
      </c>
      <c r="AG10" s="40">
        <f>AF10/AE10</f>
        <v/>
      </c>
      <c r="AH10" s="41">
        <f>AG10*3.30578512</f>
        <v/>
      </c>
      <c r="AI10" s="11" t="n">
        <v>72247</v>
      </c>
      <c r="AJ10" s="31" t="n">
        <v>3036285</v>
      </c>
      <c r="AK10" s="40">
        <f>AJ10/AI10</f>
        <v/>
      </c>
      <c r="AL10" s="41">
        <f>AK10*3.30578512</f>
        <v/>
      </c>
      <c r="AM10" s="11" t="n">
        <v>50968</v>
      </c>
      <c r="AN10" s="31" t="n">
        <v>1703512</v>
      </c>
      <c r="AO10" s="40">
        <f>AN10/AM10</f>
        <v/>
      </c>
      <c r="AP10" s="41">
        <f>AO10*3.30578512</f>
        <v/>
      </c>
      <c r="AQ10" s="11" t="n">
        <v>132415</v>
      </c>
      <c r="AR10" s="31" t="n">
        <v>4726199</v>
      </c>
      <c r="AS10" s="40">
        <f>AR10/AQ10</f>
        <v/>
      </c>
      <c r="AT10" s="41">
        <f>AS10*3.30578512</f>
        <v/>
      </c>
      <c r="AU10" s="11" t="n">
        <v>58545</v>
      </c>
      <c r="AV10" s="31" t="n">
        <v>2537034</v>
      </c>
      <c r="AW10" s="40">
        <f>AV10/AU10</f>
        <v/>
      </c>
      <c r="AX10" s="41">
        <f>AW10*3.30578512</f>
        <v/>
      </c>
      <c r="AY10" s="11" t="n">
        <v>58359</v>
      </c>
      <c r="AZ10" s="31" t="n">
        <v>1995069</v>
      </c>
      <c r="BA10" s="40">
        <f>AZ10/AY10</f>
        <v/>
      </c>
      <c r="BB10" s="41">
        <f>BA10*3.30578512</f>
        <v/>
      </c>
      <c r="BC10" s="11" t="n">
        <v>72190</v>
      </c>
      <c r="BD10" s="31" t="n">
        <v>2761493</v>
      </c>
      <c r="BE10" s="40">
        <f>BD10/BC10</f>
        <v/>
      </c>
      <c r="BF10" s="41">
        <f>BE10*3.30578512</f>
        <v/>
      </c>
      <c r="BG10" s="11" t="n">
        <v>163710</v>
      </c>
      <c r="BH10" s="31" t="n">
        <v>7492181</v>
      </c>
      <c r="BI10" s="40">
        <f>BH10/BG10</f>
        <v/>
      </c>
      <c r="BJ10" s="41">
        <f>BI10*3.30578512</f>
        <v/>
      </c>
      <c r="BK10" s="11" t="n">
        <v>29840</v>
      </c>
      <c r="BL10" s="31" t="n">
        <v>1086113</v>
      </c>
      <c r="BM10" s="40">
        <f>BL10/BK10</f>
        <v/>
      </c>
      <c r="BN10" s="41">
        <f>BM10*3.30578512</f>
        <v/>
      </c>
      <c r="BO10" s="11" t="n">
        <v>35438</v>
      </c>
      <c r="BP10" s="31" t="n">
        <v>1486760</v>
      </c>
      <c r="BQ10" s="40">
        <f>BP10/BO10</f>
        <v/>
      </c>
      <c r="BR10" s="41">
        <f>BQ10*3.30578512</f>
        <v/>
      </c>
      <c r="BS10" s="11" t="n">
        <v>77116</v>
      </c>
      <c r="BT10" s="31" t="n">
        <v>3958952</v>
      </c>
      <c r="BU10" s="40">
        <f>BT10/BS10</f>
        <v/>
      </c>
      <c r="BV10" s="41">
        <f>BU10*3.30578512</f>
        <v/>
      </c>
      <c r="BW10" s="11" t="n">
        <v>46232</v>
      </c>
      <c r="BX10" s="31" t="n">
        <v>1816366</v>
      </c>
      <c r="BY10" s="40">
        <f>BX10/BW10</f>
        <v/>
      </c>
      <c r="BZ10" s="41">
        <f>BY10*3.30578512</f>
        <v/>
      </c>
      <c r="CA10" s="11" t="n">
        <v>28963</v>
      </c>
      <c r="CB10" s="31" t="n">
        <v>1084974</v>
      </c>
      <c r="CC10" s="40">
        <f>CB10/CA10</f>
        <v/>
      </c>
      <c r="CD10" s="41">
        <f>CC10*3.30578512</f>
        <v/>
      </c>
      <c r="CE10" s="11" t="n">
        <v>60497</v>
      </c>
      <c r="CF10" s="31" t="n">
        <v>3091654</v>
      </c>
      <c r="CG10" s="40">
        <f>CF10/CE10</f>
        <v/>
      </c>
      <c r="CH10" s="41">
        <f>CG10*3.30578512</f>
        <v/>
      </c>
      <c r="CI10" s="11" t="n">
        <v>26281</v>
      </c>
      <c r="CJ10" s="31" t="n">
        <v>1308569</v>
      </c>
      <c r="CK10" s="40">
        <f>CJ10/CI10</f>
        <v/>
      </c>
      <c r="CL10" s="41">
        <f>CK10*3.30578512</f>
        <v/>
      </c>
      <c r="CM10" s="11" t="n">
        <v>45229</v>
      </c>
      <c r="CN10" s="31" t="n">
        <v>2018809</v>
      </c>
      <c r="CO10" s="40">
        <f>CN10/CM10</f>
        <v/>
      </c>
      <c r="CP10" s="41">
        <f>CO10*3.30578512</f>
        <v/>
      </c>
      <c r="CQ10" s="11" t="n">
        <v>31937</v>
      </c>
      <c r="CR10" s="31" t="n">
        <v>1354894</v>
      </c>
      <c r="CS10" s="40">
        <f>CR10/CQ10</f>
        <v/>
      </c>
      <c r="CT10" s="41">
        <f>CS10*3.30578512</f>
        <v/>
      </c>
      <c r="CU10" s="11" t="n">
        <v>21575</v>
      </c>
      <c r="CV10" s="31" t="n">
        <v>771966</v>
      </c>
      <c r="CW10" s="40">
        <f>CV10/CU10</f>
        <v/>
      </c>
      <c r="CX10" s="41">
        <f>CW10*3.30578512</f>
        <v/>
      </c>
      <c r="CY10" s="11" t="n">
        <v>18213</v>
      </c>
      <c r="CZ10" s="31" t="n">
        <v>718820</v>
      </c>
      <c r="DA10" s="40">
        <f>CZ10/CY10</f>
        <v/>
      </c>
      <c r="DB10" s="41">
        <f>DA10*3.30578512</f>
        <v/>
      </c>
      <c r="DC10" s="11" t="n">
        <v>61783</v>
      </c>
      <c r="DD10" s="31" t="n">
        <v>2591161</v>
      </c>
      <c r="DE10" s="40">
        <f>DD10/DC10</f>
        <v/>
      </c>
      <c r="DF10" s="41">
        <f>DE10*3.30578512</f>
        <v/>
      </c>
      <c r="DG10" s="11" t="n">
        <v>75208</v>
      </c>
      <c r="DH10" s="31" t="n">
        <v>3674094</v>
      </c>
      <c r="DI10" s="40">
        <f>DH10/DG10</f>
        <v/>
      </c>
      <c r="DJ10" s="41">
        <f>DI10*3.30578512</f>
        <v/>
      </c>
      <c r="DK10" s="11" t="n">
        <v>39809</v>
      </c>
      <c r="DL10" s="31" t="n">
        <v>1533622</v>
      </c>
      <c r="DM10" s="40">
        <f>DL10/DK10</f>
        <v/>
      </c>
      <c r="DN10" s="41">
        <f>DM10*3.30578512</f>
        <v/>
      </c>
      <c r="DO10" s="11" t="n">
        <v>56450</v>
      </c>
      <c r="DP10" s="31" t="n">
        <v>3493040</v>
      </c>
      <c r="DQ10" s="40">
        <f>DP10/DO10</f>
        <v/>
      </c>
      <c r="DR10" s="41">
        <f>DQ10*3.30578512</f>
        <v/>
      </c>
      <c r="DS10" s="11" t="n">
        <v>30018</v>
      </c>
      <c r="DT10" s="31" t="n">
        <v>1239589</v>
      </c>
      <c r="DU10" s="40">
        <f>DT10/DS10</f>
        <v/>
      </c>
      <c r="DV10" s="41">
        <f>DU10*3.30578512</f>
        <v/>
      </c>
      <c r="DW10" s="11" t="n">
        <v>21802</v>
      </c>
      <c r="DX10" s="31" t="n">
        <v>739533</v>
      </c>
      <c r="DY10" s="40">
        <f>DX10/DW10</f>
        <v/>
      </c>
      <c r="DZ10" s="41">
        <f>DY10*3.30578512</f>
        <v/>
      </c>
      <c r="EA10" s="11" t="n">
        <v>17463</v>
      </c>
      <c r="EB10" s="31" t="n">
        <v>662700</v>
      </c>
      <c r="EC10" s="40">
        <f>EB10/EA10</f>
        <v/>
      </c>
      <c r="ED10" s="41">
        <f>EC10*3.30578512</f>
        <v/>
      </c>
      <c r="EE10" s="11" t="n">
        <v>50757</v>
      </c>
      <c r="EF10" s="31" t="n">
        <v>2939783</v>
      </c>
      <c r="EG10" s="40">
        <f>EF10/EE10</f>
        <v/>
      </c>
      <c r="EH10" s="41">
        <f>EG10*3.30578512</f>
        <v/>
      </c>
      <c r="EI10" s="11" t="n">
        <v>15878</v>
      </c>
      <c r="EJ10" s="31" t="n">
        <v>569335</v>
      </c>
      <c r="EK10" s="40">
        <f>EJ10/EI10</f>
        <v/>
      </c>
      <c r="EL10" s="41">
        <f>EK10*3.30578512</f>
        <v/>
      </c>
      <c r="EM10" s="11" t="n">
        <v>85131</v>
      </c>
      <c r="EN10" s="31" t="n">
        <v>5736312</v>
      </c>
      <c r="EO10" s="40">
        <f>EN10/EM10</f>
        <v/>
      </c>
      <c r="EP10" s="41">
        <f>EO10*3.30578512</f>
        <v/>
      </c>
      <c r="EQ10" s="11" t="n">
        <v>18176</v>
      </c>
      <c r="ER10" s="31" t="n">
        <v>663243</v>
      </c>
      <c r="ES10" s="40">
        <f>ER10/EQ10</f>
        <v/>
      </c>
      <c r="ET10" s="41">
        <f>ES10*3.30578512</f>
        <v/>
      </c>
      <c r="EU10" s="11" t="n">
        <v>17345</v>
      </c>
      <c r="EV10" s="31" t="n">
        <v>624753.37736</v>
      </c>
      <c r="EW10" s="40">
        <f>EV10/EU10</f>
        <v/>
      </c>
      <c r="EX10" s="41">
        <f>EW10*3.30578512</f>
        <v/>
      </c>
      <c r="EY10" s="11" t="n">
        <v>59787</v>
      </c>
      <c r="EZ10" s="31" t="n">
        <v>3657944.04847</v>
      </c>
      <c r="FA10" s="40">
        <f>EZ10/EY10</f>
        <v/>
      </c>
      <c r="FB10" s="41">
        <f>FA10*3.30578512</f>
        <v/>
      </c>
      <c r="FC10" s="11" t="n">
        <v>81632</v>
      </c>
      <c r="FD10" s="31" t="n">
        <v>5121355.70173</v>
      </c>
      <c r="FE10" s="40">
        <f>FD10/FC10</f>
        <v/>
      </c>
      <c r="FF10" s="41">
        <f>FE10*3.30578512</f>
        <v/>
      </c>
      <c r="FG10" s="11" t="n">
        <v>89374</v>
      </c>
      <c r="FH10" s="31" t="n">
        <v>4527145.63205</v>
      </c>
      <c r="FI10" s="40">
        <f>FH10/FG10</f>
        <v/>
      </c>
      <c r="FJ10" s="41">
        <f>FI10*3.30578512</f>
        <v/>
      </c>
      <c r="FK10" s="11" t="n">
        <v>39756</v>
      </c>
      <c r="FL10" s="31" t="n">
        <v>2022945.23121</v>
      </c>
      <c r="FM10" s="40">
        <f>FL10/FK10</f>
        <v/>
      </c>
      <c r="FN10" s="41">
        <f>FM10*3.30578512</f>
        <v/>
      </c>
      <c r="FO10" s="11" t="n"/>
      <c r="FP10" s="31" t="n"/>
      <c r="FQ10" s="40">
        <f>FP10/FO10</f>
        <v/>
      </c>
      <c r="FR10" s="41">
        <f>FQ10*3.30578512</f>
        <v/>
      </c>
      <c r="FS10" s="11" t="n"/>
      <c r="FT10" s="31" t="n"/>
      <c r="FU10" s="40">
        <f>FT10/FS10</f>
        <v/>
      </c>
      <c r="FV10" s="41">
        <f>FU10*3.30578512</f>
        <v/>
      </c>
      <c r="FW10" s="11" t="n"/>
      <c r="FX10" s="31" t="n"/>
      <c r="FY10" s="40">
        <f>FX10/FW10</f>
        <v/>
      </c>
      <c r="FZ10" s="41">
        <f>FY10*3.30578512</f>
        <v/>
      </c>
    </row>
    <row r="11" ht="18.6" customHeight="1" thickBot="1">
      <c r="B11" s="2" t="inlineStr">
        <is>
          <t>その他</t>
        </is>
      </c>
      <c r="C11" s="15" t="n">
        <v>8608567</v>
      </c>
      <c r="D11" s="16" t="n">
        <v>167466039</v>
      </c>
      <c r="E11" s="42">
        <f>D11/C11</f>
        <v/>
      </c>
      <c r="F11" s="43">
        <f>E11*3.30578512</f>
        <v/>
      </c>
      <c r="G11" s="15" t="n">
        <v>468787</v>
      </c>
      <c r="H11" s="16" t="n">
        <v>11628801</v>
      </c>
      <c r="I11" s="42">
        <f>H11/G11</f>
        <v/>
      </c>
      <c r="J11" s="43">
        <f>I11*3.30578512</f>
        <v/>
      </c>
      <c r="K11" s="15" t="n">
        <v>554269</v>
      </c>
      <c r="L11" s="16" t="n">
        <v>13303890</v>
      </c>
      <c r="M11" s="42">
        <f>L11/K11</f>
        <v/>
      </c>
      <c r="N11" s="43">
        <f>M11*3.30578512</f>
        <v/>
      </c>
      <c r="O11" s="15" t="n">
        <v>475415</v>
      </c>
      <c r="P11" s="16" t="n">
        <v>11484248</v>
      </c>
      <c r="Q11" s="42">
        <f>P11/O11</f>
        <v/>
      </c>
      <c r="R11" s="43">
        <f>Q11*3.30578512</f>
        <v/>
      </c>
      <c r="S11" s="15" t="n">
        <v>543839</v>
      </c>
      <c r="T11" s="16" t="n">
        <v>13801597</v>
      </c>
      <c r="U11" s="42">
        <f>T11/S11</f>
        <v/>
      </c>
      <c r="V11" s="43">
        <f>U11*3.30578512</f>
        <v/>
      </c>
      <c r="W11" s="15" t="n">
        <v>444209</v>
      </c>
      <c r="X11" s="16" t="n">
        <v>14214159</v>
      </c>
      <c r="Y11" s="42">
        <f>X11/W11</f>
        <v/>
      </c>
      <c r="Z11" s="43">
        <f>Y11*3.30578512</f>
        <v/>
      </c>
      <c r="AA11" s="15" t="n">
        <v>525185</v>
      </c>
      <c r="AB11" s="16" t="n">
        <v>12856987</v>
      </c>
      <c r="AC11" s="42">
        <f>AB11/AA11</f>
        <v/>
      </c>
      <c r="AD11" s="43">
        <f>AC11*3.30578512</f>
        <v/>
      </c>
      <c r="AE11" s="15" t="n">
        <v>784656</v>
      </c>
      <c r="AF11" s="16" t="n">
        <v>23232064</v>
      </c>
      <c r="AG11" s="42">
        <f>AF11/AE11</f>
        <v/>
      </c>
      <c r="AH11" s="43">
        <f>AG11*3.30578512</f>
        <v/>
      </c>
      <c r="AI11" s="15" t="n">
        <v>516754</v>
      </c>
      <c r="AJ11" s="16" t="n">
        <v>14356047</v>
      </c>
      <c r="AK11" s="42">
        <f>AJ11/AI11</f>
        <v/>
      </c>
      <c r="AL11" s="43">
        <f>AK11*3.30578512</f>
        <v/>
      </c>
      <c r="AM11" s="15" t="n">
        <v>483962</v>
      </c>
      <c r="AN11" s="16" t="n">
        <v>13861034</v>
      </c>
      <c r="AO11" s="42">
        <f>AN11/AM11</f>
        <v/>
      </c>
      <c r="AP11" s="43">
        <f>AO11*3.30578512</f>
        <v/>
      </c>
      <c r="AQ11" s="15" t="n">
        <v>517179</v>
      </c>
      <c r="AR11" s="16" t="n">
        <v>13067907</v>
      </c>
      <c r="AS11" s="42">
        <f>AR11/AQ11</f>
        <v/>
      </c>
      <c r="AT11" s="43">
        <f>AS11*3.30578512</f>
        <v/>
      </c>
      <c r="AU11" s="15" t="n">
        <v>493168</v>
      </c>
      <c r="AV11" s="16" t="n">
        <v>12400631</v>
      </c>
      <c r="AW11" s="42">
        <f>AV11/AU11</f>
        <v/>
      </c>
      <c r="AX11" s="43">
        <f>AW11*3.30578512</f>
        <v/>
      </c>
      <c r="AY11" s="15" t="n">
        <v>452254</v>
      </c>
      <c r="AZ11" s="16" t="n">
        <v>10896023</v>
      </c>
      <c r="BA11" s="42">
        <f>AZ11/AY11</f>
        <v/>
      </c>
      <c r="BB11" s="43">
        <f>BA11*3.30578512</f>
        <v/>
      </c>
      <c r="BC11" s="15" t="n">
        <v>426713</v>
      </c>
      <c r="BD11" s="16" t="n">
        <v>12037838</v>
      </c>
      <c r="BE11" s="42">
        <f>BD11/BC11</f>
        <v/>
      </c>
      <c r="BF11" s="43">
        <f>BE11*3.30578512</f>
        <v/>
      </c>
      <c r="BG11" s="15" t="n">
        <v>426628</v>
      </c>
      <c r="BH11" s="16" t="n">
        <v>10028344</v>
      </c>
      <c r="BI11" s="42">
        <f>BH11/BG11</f>
        <v/>
      </c>
      <c r="BJ11" s="43">
        <f>BI11*3.30578512</f>
        <v/>
      </c>
      <c r="BK11" s="15" t="n">
        <v>429740</v>
      </c>
      <c r="BL11" s="16" t="n">
        <v>10476952</v>
      </c>
      <c r="BM11" s="42">
        <f>BL11/BK11</f>
        <v/>
      </c>
      <c r="BN11" s="43">
        <f>BM11*3.30578512</f>
        <v/>
      </c>
      <c r="BO11" s="15" t="n">
        <v>477653</v>
      </c>
      <c r="BP11" s="16" t="n">
        <v>14518674</v>
      </c>
      <c r="BQ11" s="42">
        <f>BP11/BO11</f>
        <v/>
      </c>
      <c r="BR11" s="43">
        <f>BQ11*3.30578512</f>
        <v/>
      </c>
      <c r="BS11" s="15" t="n">
        <v>436991</v>
      </c>
      <c r="BT11" s="16" t="n">
        <v>13656448</v>
      </c>
      <c r="BU11" s="42">
        <f>BT11/BS11</f>
        <v/>
      </c>
      <c r="BV11" s="43">
        <f>BU11*3.30578512</f>
        <v/>
      </c>
      <c r="BW11" s="15" t="n">
        <v>441980</v>
      </c>
      <c r="BX11" s="16" t="n">
        <v>13211462</v>
      </c>
      <c r="BY11" s="42">
        <f>BX11/BW11</f>
        <v/>
      </c>
      <c r="BZ11" s="43">
        <f>BY11*3.30578512</f>
        <v/>
      </c>
      <c r="CA11" s="15" t="n">
        <v>587762</v>
      </c>
      <c r="CB11" s="16" t="n">
        <v>18266439</v>
      </c>
      <c r="CC11" s="42">
        <f>CB11/CA11</f>
        <v/>
      </c>
      <c r="CD11" s="43">
        <f>CC11*3.30578512</f>
        <v/>
      </c>
      <c r="CE11" s="15" t="n">
        <v>507410</v>
      </c>
      <c r="CF11" s="16" t="n">
        <v>15077442</v>
      </c>
      <c r="CG11" s="42">
        <f>CF11/CE11</f>
        <v/>
      </c>
      <c r="CH11" s="43">
        <f>CG11*3.30578512</f>
        <v/>
      </c>
      <c r="CI11" s="15" t="n">
        <v>431504</v>
      </c>
      <c r="CJ11" s="16" t="n">
        <v>13681572</v>
      </c>
      <c r="CK11" s="42">
        <f>CJ11/CI11</f>
        <v/>
      </c>
      <c r="CL11" s="43">
        <f>CK11*3.30578512</f>
        <v/>
      </c>
      <c r="CM11" s="15" t="n">
        <v>569025</v>
      </c>
      <c r="CN11" s="16" t="n">
        <v>16385060</v>
      </c>
      <c r="CO11" s="42">
        <f>CN11/CM11</f>
        <v/>
      </c>
      <c r="CP11" s="43">
        <f>CO11*3.30578512</f>
        <v/>
      </c>
      <c r="CQ11" s="15" t="n">
        <v>384777</v>
      </c>
      <c r="CR11" s="16" t="n">
        <v>12314279</v>
      </c>
      <c r="CS11" s="42">
        <f>CR11/CQ11</f>
        <v/>
      </c>
      <c r="CT11" s="43">
        <f>CS11*3.30578512</f>
        <v/>
      </c>
      <c r="CU11" s="15" t="n">
        <v>396343</v>
      </c>
      <c r="CV11" s="16" t="n">
        <v>13183424</v>
      </c>
      <c r="CW11" s="42">
        <f>CV11/CU11</f>
        <v/>
      </c>
      <c r="CX11" s="43">
        <f>CW11*3.30578512</f>
        <v/>
      </c>
      <c r="CY11" s="15" t="n">
        <v>382059</v>
      </c>
      <c r="CZ11" s="16" t="n">
        <v>13252033</v>
      </c>
      <c r="DA11" s="42">
        <f>CZ11/CY11</f>
        <v/>
      </c>
      <c r="DB11" s="43">
        <f>DA11*3.30578512</f>
        <v/>
      </c>
      <c r="DC11" s="15" t="n">
        <v>423007</v>
      </c>
      <c r="DD11" s="16" t="n">
        <v>22456401</v>
      </c>
      <c r="DE11" s="42">
        <f>DD11/DC11</f>
        <v/>
      </c>
      <c r="DF11" s="43">
        <f>DE11*3.30578512</f>
        <v/>
      </c>
      <c r="DG11" s="15" t="n">
        <v>467942</v>
      </c>
      <c r="DH11" s="16" t="n">
        <v>19166153</v>
      </c>
      <c r="DI11" s="42">
        <f>DH11/DG11</f>
        <v/>
      </c>
      <c r="DJ11" s="43">
        <f>DI11*3.30578512</f>
        <v/>
      </c>
      <c r="DK11" s="15" t="n">
        <v>690848</v>
      </c>
      <c r="DL11" s="16" t="n">
        <v>28299445</v>
      </c>
      <c r="DM11" s="42">
        <f>DL11/DK11</f>
        <v/>
      </c>
      <c r="DN11" s="43">
        <f>DM11*3.30578512</f>
        <v/>
      </c>
      <c r="DO11" s="15" t="n">
        <v>369532</v>
      </c>
      <c r="DP11" s="16" t="n">
        <v>12152064</v>
      </c>
      <c r="DQ11" s="42">
        <f>DP11/DO11</f>
        <v/>
      </c>
      <c r="DR11" s="43">
        <f>DQ11*3.30578512</f>
        <v/>
      </c>
      <c r="DS11" s="15" t="n">
        <v>413077</v>
      </c>
      <c r="DT11" s="16" t="n">
        <v>14026501</v>
      </c>
      <c r="DU11" s="42">
        <f>DT11/DS11</f>
        <v/>
      </c>
      <c r="DV11" s="43">
        <f>DU11*3.30578512</f>
        <v/>
      </c>
      <c r="DW11" s="15" t="n">
        <v>369620</v>
      </c>
      <c r="DX11" s="16" t="n">
        <v>11544272</v>
      </c>
      <c r="DY11" s="42">
        <f>DX11/DW11</f>
        <v/>
      </c>
      <c r="DZ11" s="43">
        <f>DY11*3.30578512</f>
        <v/>
      </c>
      <c r="EA11" s="15" t="n">
        <v>427197</v>
      </c>
      <c r="EB11" s="16" t="n">
        <v>21559705</v>
      </c>
      <c r="EC11" s="42">
        <f>EB11/EA11</f>
        <v/>
      </c>
      <c r="ED11" s="43">
        <f>EC11*3.30578512</f>
        <v/>
      </c>
      <c r="EE11" s="15" t="n">
        <v>473210</v>
      </c>
      <c r="EF11" s="16" t="n">
        <v>17192389</v>
      </c>
      <c r="EG11" s="42">
        <f>EF11/EE11</f>
        <v/>
      </c>
      <c r="EH11" s="43">
        <f>EG11*3.30578512</f>
        <v/>
      </c>
      <c r="EI11" s="15" t="n">
        <v>432596</v>
      </c>
      <c r="EJ11" s="16" t="n">
        <v>15735547</v>
      </c>
      <c r="EK11" s="42">
        <f>EJ11/EI11</f>
        <v/>
      </c>
      <c r="EL11" s="43">
        <f>EK11*3.30578512</f>
        <v/>
      </c>
      <c r="EM11" s="15" t="n">
        <v>344658</v>
      </c>
      <c r="EN11" s="16" t="n">
        <v>10792773</v>
      </c>
      <c r="EO11" s="42">
        <f>EN11/EM11</f>
        <v/>
      </c>
      <c r="EP11" s="43">
        <f>EO11*3.30578512</f>
        <v/>
      </c>
      <c r="EQ11" s="15" t="n">
        <v>335412</v>
      </c>
      <c r="ER11" s="16" t="n">
        <v>12330928</v>
      </c>
      <c r="ES11" s="42">
        <f>ER11/EQ11</f>
        <v/>
      </c>
      <c r="ET11" s="43">
        <f>ES11*3.30578512</f>
        <v/>
      </c>
      <c r="EU11" s="15" t="n">
        <v>353303</v>
      </c>
      <c r="EV11" s="16" t="n">
        <v>10780340.16078</v>
      </c>
      <c r="EW11" s="42">
        <f>EV11/EU11</f>
        <v/>
      </c>
      <c r="EX11" s="43">
        <f>EW11*3.30578512</f>
        <v/>
      </c>
      <c r="EY11" s="15" t="n">
        <v>270559</v>
      </c>
      <c r="EZ11" s="16" t="n">
        <v>12760862.00277</v>
      </c>
      <c r="FA11" s="42">
        <f>EZ11/EY11</f>
        <v/>
      </c>
      <c r="FB11" s="43">
        <f>FA11*3.30578512</f>
        <v/>
      </c>
      <c r="FC11" s="15" t="n">
        <v>469145</v>
      </c>
      <c r="FD11" s="16" t="n">
        <v>25382588.23332</v>
      </c>
      <c r="FE11" s="42">
        <f>FD11/FC11</f>
        <v/>
      </c>
      <c r="FF11" s="43">
        <f>FE11*3.30578512</f>
        <v/>
      </c>
      <c r="FG11" s="15" t="n">
        <v>1234635</v>
      </c>
      <c r="FH11" s="16" t="n">
        <v>88701906.48126</v>
      </c>
      <c r="FI11" s="42">
        <f>FH11/FG11</f>
        <v/>
      </c>
      <c r="FJ11" s="43">
        <f>FI11*3.30578512</f>
        <v/>
      </c>
      <c r="FK11" s="15" t="n">
        <v>358272</v>
      </c>
      <c r="FL11" s="16" t="n">
        <v>22722115.97924</v>
      </c>
      <c r="FM11" s="42">
        <f>FL11/FK11</f>
        <v/>
      </c>
      <c r="FN11" s="43">
        <f>FM11*3.30578512</f>
        <v/>
      </c>
      <c r="FO11" s="15" t="n"/>
      <c r="FP11" s="16" t="n"/>
      <c r="FQ11" s="42">
        <f>FP11/FO11</f>
        <v/>
      </c>
      <c r="FR11" s="43">
        <f>FQ11*3.30578512</f>
        <v/>
      </c>
      <c r="FS11" s="15" t="n"/>
      <c r="FT11" s="16" t="n"/>
      <c r="FU11" s="42">
        <f>FT11/FS11</f>
        <v/>
      </c>
      <c r="FV11" s="43">
        <f>FU11*3.30578512</f>
        <v/>
      </c>
      <c r="FW11" s="15" t="n"/>
      <c r="FX11" s="16" t="n"/>
      <c r="FY11" s="42">
        <f>FX11/FW11</f>
        <v/>
      </c>
      <c r="FZ11" s="43">
        <f>FY11*3.30578512</f>
        <v/>
      </c>
    </row>
    <row r="12">
      <c r="EU12" s="44" t="n"/>
      <c r="EV12" s="44" t="n"/>
      <c r="EY12" s="44" t="n"/>
      <c r="EZ12" s="44" t="n"/>
      <c r="FC12" s="44" t="n"/>
      <c r="FD12" s="44" t="n"/>
      <c r="FG12" s="44" t="n"/>
      <c r="FH12" s="44" t="n"/>
      <c r="FK12" s="44" t="n"/>
      <c r="FL12" s="44" t="n"/>
      <c r="FO12" s="44" t="n"/>
      <c r="FP12" s="44" t="n"/>
      <c r="FS12" s="44" t="n"/>
      <c r="FT12" s="44" t="n"/>
      <c r="FW12" s="44" t="n"/>
      <c r="FX12" s="44" t="n"/>
    </row>
    <row r="15" ht="18.6" customHeight="1" thickBot="1">
      <c r="B15" s="2" t="inlineStr">
        <is>
          <t>着工多用途建築物</t>
        </is>
      </c>
    </row>
    <row r="16">
      <c r="C16" s="4" t="inlineStr">
        <is>
          <t>2015（基準）</t>
        </is>
      </c>
      <c r="D16" s="5" t="n"/>
      <c r="E16" s="5" t="n"/>
      <c r="F16" s="6" t="n"/>
      <c r="G16" s="4" t="inlineStr">
        <is>
          <t>令和4年1月分</t>
        </is>
      </c>
      <c r="H16" s="5" t="n"/>
      <c r="I16" s="5" t="n"/>
      <c r="J16" s="6" t="n"/>
      <c r="K16" s="4" t="inlineStr">
        <is>
          <t>令和4年2月分</t>
        </is>
      </c>
      <c r="M16" s="5" t="n"/>
      <c r="N16" s="6" t="n"/>
      <c r="O16" s="4" t="inlineStr">
        <is>
          <t>令和4年3月分</t>
        </is>
      </c>
      <c r="Q16" s="5" t="n"/>
      <c r="R16" s="6" t="n"/>
      <c r="S16" s="4" t="inlineStr">
        <is>
          <t>令和4年4月分</t>
        </is>
      </c>
      <c r="T16" s="5" t="n"/>
      <c r="U16" s="5" t="n"/>
      <c r="V16" s="6" t="n"/>
      <c r="W16" s="4" t="inlineStr">
        <is>
          <t>令和4年5月分</t>
        </is>
      </c>
      <c r="Y16" s="5" t="n"/>
      <c r="Z16" s="6" t="n"/>
      <c r="AA16" s="4" t="inlineStr">
        <is>
          <t>令和4年6月分</t>
        </is>
      </c>
      <c r="AC16" s="5" t="n"/>
      <c r="AD16" s="6" t="n"/>
      <c r="AE16" s="4" t="inlineStr">
        <is>
          <t>令和4年7月分</t>
        </is>
      </c>
      <c r="AF16" s="5" t="n"/>
      <c r="AG16" s="5" t="n"/>
      <c r="AH16" s="6" t="n"/>
      <c r="AI16" s="4" t="inlineStr">
        <is>
          <t>令和4年8月分</t>
        </is>
      </c>
      <c r="AK16" s="5" t="n"/>
      <c r="AL16" s="6" t="n"/>
      <c r="AM16" s="4" t="inlineStr">
        <is>
          <t>令和4年9月分</t>
        </is>
      </c>
      <c r="AO16" s="5" t="n"/>
      <c r="AP16" s="6" t="n"/>
      <c r="AQ16" s="4" t="inlineStr">
        <is>
          <t>令和4年10月分</t>
        </is>
      </c>
      <c r="AR16" s="5" t="n"/>
      <c r="AS16" s="5" t="n"/>
      <c r="AT16" s="6" t="n"/>
      <c r="AU16" s="4" t="inlineStr">
        <is>
          <t>令和4年11月分</t>
        </is>
      </c>
      <c r="AW16" s="5" t="n"/>
      <c r="AX16" s="6" t="n"/>
      <c r="AY16" s="4" t="inlineStr">
        <is>
          <t>令和4年12月分</t>
        </is>
      </c>
      <c r="AZ16" s="5" t="n"/>
      <c r="BA16" s="5" t="n"/>
      <c r="BB16" s="6" t="n"/>
      <c r="BC16" s="4" t="inlineStr">
        <is>
          <t>令和5年1月分</t>
        </is>
      </c>
      <c r="BD16" s="5" t="n"/>
      <c r="BE16" s="5" t="n"/>
      <c r="BF16" s="6" t="n"/>
      <c r="BG16" s="4" t="inlineStr">
        <is>
          <t>令和5年2月分</t>
        </is>
      </c>
      <c r="BI16" s="5" t="n"/>
      <c r="BJ16" s="6" t="n"/>
      <c r="BK16" s="4" t="inlineStr">
        <is>
          <t>令和5年3月分</t>
        </is>
      </c>
      <c r="BM16" s="5" t="n"/>
      <c r="BN16" s="6" t="n"/>
      <c r="BO16" s="4" t="inlineStr">
        <is>
          <t>令和5年4月分</t>
        </is>
      </c>
      <c r="BP16" s="5" t="n"/>
      <c r="BQ16" s="5" t="n"/>
      <c r="BR16" s="6" t="n"/>
      <c r="BS16" s="4" t="inlineStr">
        <is>
          <t>令和5年5月分</t>
        </is>
      </c>
      <c r="BU16" s="5" t="n"/>
      <c r="BV16" s="6" t="n"/>
      <c r="BW16" s="4" t="inlineStr">
        <is>
          <t>令和5年6月分</t>
        </is>
      </c>
      <c r="BY16" s="5" t="n"/>
      <c r="BZ16" s="6" t="n"/>
      <c r="CA16" s="4" t="inlineStr">
        <is>
          <t>令和5年7月分</t>
        </is>
      </c>
      <c r="CB16" s="5" t="n"/>
      <c r="CC16" s="5" t="n"/>
      <c r="CD16" s="6" t="n"/>
      <c r="CE16" s="4" t="inlineStr">
        <is>
          <t>令和5年8月分</t>
        </is>
      </c>
      <c r="CG16" s="5" t="n"/>
      <c r="CH16" s="6" t="n"/>
      <c r="CI16" s="4" t="inlineStr">
        <is>
          <t>令和5年9月分</t>
        </is>
      </c>
      <c r="CK16" s="5" t="n"/>
      <c r="CL16" s="6" t="n"/>
      <c r="CM16" s="4" t="inlineStr">
        <is>
          <t>令和5年10月分</t>
        </is>
      </c>
      <c r="CN16" s="5" t="n"/>
      <c r="CO16" s="5" t="n"/>
      <c r="CP16" s="6" t="n"/>
      <c r="CQ16" s="4" t="inlineStr">
        <is>
          <t>令和5年11月分</t>
        </is>
      </c>
      <c r="CS16" s="5" t="n"/>
      <c r="CT16" s="6" t="n"/>
      <c r="CU16" s="4" t="inlineStr">
        <is>
          <t>令和5年12月分</t>
        </is>
      </c>
      <c r="CV16" s="5" t="n"/>
      <c r="CW16" s="5" t="n"/>
      <c r="CX16" s="6" t="n"/>
      <c r="CY16" s="4" t="inlineStr">
        <is>
          <t>令和6年1月分</t>
        </is>
      </c>
      <c r="CZ16" s="5" t="n"/>
      <c r="DA16" s="5" t="n"/>
      <c r="DB16" s="6" t="n"/>
      <c r="DC16" s="4" t="inlineStr">
        <is>
          <t>令和6年2月分</t>
        </is>
      </c>
      <c r="DE16" s="5" t="n"/>
      <c r="DF16" s="6" t="n"/>
      <c r="DG16" s="4" t="inlineStr">
        <is>
          <t>令和6年3月分</t>
        </is>
      </c>
      <c r="DI16" s="5" t="n"/>
      <c r="DJ16" s="6" t="n"/>
      <c r="DK16" s="4" t="inlineStr">
        <is>
          <t>令和6年4月分</t>
        </is>
      </c>
      <c r="DL16" s="5" t="n"/>
      <c r="DM16" s="5" t="n"/>
      <c r="DN16" s="6" t="n"/>
      <c r="DO16" s="4" t="inlineStr">
        <is>
          <t>令和6年5月分</t>
        </is>
      </c>
      <c r="DQ16" s="5" t="n"/>
      <c r="DR16" s="6" t="n"/>
      <c r="DS16" s="4" t="inlineStr">
        <is>
          <t>令和6年6月分</t>
        </is>
      </c>
      <c r="DU16" s="5" t="n"/>
      <c r="DV16" s="6" t="n"/>
      <c r="DW16" s="4" t="inlineStr">
        <is>
          <t>令和6年7月分</t>
        </is>
      </c>
      <c r="DX16" s="5" t="n"/>
      <c r="DY16" s="5" t="n"/>
      <c r="DZ16" s="6" t="n"/>
      <c r="EA16" s="4" t="inlineStr">
        <is>
          <t>令和6年8月分</t>
        </is>
      </c>
      <c r="EC16" s="5" t="n"/>
      <c r="ED16" s="6" t="n"/>
      <c r="EE16" s="4" t="inlineStr">
        <is>
          <t>令和6年9月分</t>
        </is>
      </c>
      <c r="EG16" s="5" t="n"/>
      <c r="EH16" s="6" t="n"/>
      <c r="EI16" s="4" t="inlineStr">
        <is>
          <t>令和6年10月分</t>
        </is>
      </c>
      <c r="EJ16" s="5" t="n"/>
      <c r="EK16" s="5" t="n"/>
      <c r="EL16" s="6" t="n"/>
      <c r="EM16" s="4" t="inlineStr">
        <is>
          <t>令和6年11月分</t>
        </is>
      </c>
      <c r="EN16" s="5" t="n"/>
      <c r="EO16" s="5" t="n"/>
      <c r="EP16" s="6" t="n"/>
      <c r="EQ16" s="4" t="inlineStr">
        <is>
          <t>令和6年12月分</t>
        </is>
      </c>
      <c r="ER16" s="5" t="n"/>
      <c r="ES16" s="5" t="n"/>
      <c r="ET16" s="6" t="n"/>
      <c r="EU16" s="4" t="inlineStr">
        <is>
          <t>令和7年1月分</t>
        </is>
      </c>
      <c r="EV16" s="5" t="n"/>
      <c r="EW16" s="5" t="n"/>
      <c r="EX16" s="6" t="n"/>
      <c r="EY16" s="4" t="inlineStr">
        <is>
          <t>令和7年2月分</t>
        </is>
      </c>
      <c r="EZ16" s="5" t="n"/>
      <c r="FA16" s="5" t="n"/>
      <c r="FB16" s="6" t="n"/>
      <c r="FC16" s="4" t="inlineStr">
        <is>
          <t>令和7年3月分</t>
        </is>
      </c>
      <c r="FD16" s="5" t="n"/>
      <c r="FE16" s="5" t="n"/>
      <c r="FF16" s="6" t="n"/>
      <c r="FG16" s="4" t="inlineStr">
        <is>
          <t>令和7年4月分</t>
        </is>
      </c>
      <c r="FH16" s="5" t="n"/>
      <c r="FI16" s="5" t="n"/>
      <c r="FJ16" s="6" t="n"/>
      <c r="FK16" s="4" t="inlineStr">
        <is>
          <t>令和7年5月分</t>
        </is>
      </c>
      <c r="FL16" s="5" t="n"/>
      <c r="FM16" s="5" t="n"/>
      <c r="FN16" s="6" t="n"/>
      <c r="FO16" s="4" t="inlineStr">
        <is>
          <t>令和7年6月分</t>
        </is>
      </c>
      <c r="FP16" s="5" t="n"/>
      <c r="FQ16" s="5" t="n"/>
      <c r="FR16" s="6" t="n"/>
      <c r="FS16" s="4" t="inlineStr">
        <is>
          <t>令和7年7月分</t>
        </is>
      </c>
      <c r="FT16" s="5" t="n"/>
      <c r="FU16" s="5" t="n"/>
      <c r="FV16" s="6" t="n"/>
      <c r="FW16" s="4" t="inlineStr">
        <is>
          <t>令和7年8月分</t>
        </is>
      </c>
      <c r="FX16" s="5" t="n"/>
      <c r="FY16" s="5" t="n"/>
      <c r="FZ16" s="6" t="n"/>
      <c r="GA16" s="4" t="inlineStr">
        <is>
          <t>令和7年9月分</t>
        </is>
      </c>
      <c r="GB16" s="5" t="n"/>
      <c r="GC16" s="5" t="n"/>
      <c r="GD16" s="6" t="n"/>
      <c r="GE16" s="4" t="inlineStr">
        <is>
          <t>令和7年10月分</t>
        </is>
      </c>
      <c r="GF16" s="5" t="n"/>
      <c r="GG16" s="5" t="n"/>
      <c r="GH16" s="6" t="n"/>
      <c r="GI16" s="4" t="inlineStr">
        <is>
          <t>令和7年11月分</t>
        </is>
      </c>
      <c r="GJ16" s="5" t="n"/>
      <c r="GK16" s="5" t="n"/>
      <c r="GL16" s="6" t="n"/>
    </row>
    <row r="17" ht="45" customHeight="1">
      <c r="C17" s="7" t="inlineStr">
        <is>
          <t>床面積の合計　（㎡）</t>
        </is>
      </c>
      <c r="D17" s="8" t="inlineStr">
        <is>
          <t>工事費予定額（万円）</t>
        </is>
      </c>
      <c r="E17" s="9" t="inlineStr">
        <is>
          <t>面積単価
（万円/㎡）</t>
        </is>
      </c>
      <c r="F17" s="10" t="inlineStr">
        <is>
          <t>面積単価
（万円/坪）</t>
        </is>
      </c>
      <c r="G17" s="7" t="inlineStr">
        <is>
          <t>床面積の合計　（㎡）</t>
        </is>
      </c>
      <c r="H17" s="8" t="inlineStr">
        <is>
          <t>工事費予定額（万円）</t>
        </is>
      </c>
      <c r="I17" s="9" t="inlineStr">
        <is>
          <t>面積単価
（万円/㎡）</t>
        </is>
      </c>
      <c r="J17" s="10" t="inlineStr">
        <is>
          <t>面積単価
（万円/坪）</t>
        </is>
      </c>
      <c r="K17" s="7" t="inlineStr">
        <is>
          <t>床面積の合計　（㎡）</t>
        </is>
      </c>
      <c r="L17" s="8" t="inlineStr">
        <is>
          <t>工事費予定額（万円）</t>
        </is>
      </c>
      <c r="M17" s="9" t="inlineStr">
        <is>
          <t>面積単価
（万円/㎡）</t>
        </is>
      </c>
      <c r="N17" s="10" t="inlineStr">
        <is>
          <t>面積単価
（万円/坪）</t>
        </is>
      </c>
      <c r="O17" s="7" t="inlineStr">
        <is>
          <t>床面積の合計　（㎡）</t>
        </is>
      </c>
      <c r="P17" s="8" t="inlineStr">
        <is>
          <t>工事費予定額（万円）</t>
        </is>
      </c>
      <c r="Q17" s="9" t="inlineStr">
        <is>
          <t>面積単価
（万円/㎡）</t>
        </is>
      </c>
      <c r="R17" s="10" t="inlineStr">
        <is>
          <t>面積単価
（万円/坪）</t>
        </is>
      </c>
      <c r="S17" s="7" t="inlineStr">
        <is>
          <t>床面積の合計　（㎡）</t>
        </is>
      </c>
      <c r="T17" s="8" t="inlineStr">
        <is>
          <t>工事費予定額（万円）</t>
        </is>
      </c>
      <c r="U17" s="9" t="inlineStr">
        <is>
          <t>面積単価
（万円/㎡）</t>
        </is>
      </c>
      <c r="V17" s="10" t="inlineStr">
        <is>
          <t>面積単価
（万円/坪）</t>
        </is>
      </c>
      <c r="W17" s="7" t="inlineStr">
        <is>
          <t>床面積の合計　（㎡）</t>
        </is>
      </c>
      <c r="X17" s="8" t="inlineStr">
        <is>
          <t>工事費予定額（万円）</t>
        </is>
      </c>
      <c r="Y17" s="9" t="inlineStr">
        <is>
          <t>面積単価
（万円/㎡）</t>
        </is>
      </c>
      <c r="Z17" s="10" t="inlineStr">
        <is>
          <t>面積単価
（万円/坪）</t>
        </is>
      </c>
      <c r="AA17" s="7" t="inlineStr">
        <is>
          <t>床面積の合計　（㎡）</t>
        </is>
      </c>
      <c r="AB17" s="8" t="inlineStr">
        <is>
          <t>工事費予定額（万円）</t>
        </is>
      </c>
      <c r="AC17" s="9" t="inlineStr">
        <is>
          <t>面積単価
（万円/㎡）</t>
        </is>
      </c>
      <c r="AD17" s="10" t="inlineStr">
        <is>
          <t>面積単価
（万円/坪）</t>
        </is>
      </c>
      <c r="AE17" s="7" t="inlineStr">
        <is>
          <t>床面積の合計　（㎡）</t>
        </is>
      </c>
      <c r="AF17" s="8" t="inlineStr">
        <is>
          <t>工事費予定額（万円）</t>
        </is>
      </c>
      <c r="AG17" s="9" t="inlineStr">
        <is>
          <t>面積単価
（万円/㎡）</t>
        </is>
      </c>
      <c r="AH17" s="10" t="inlineStr">
        <is>
          <t>面積単価
（万円/坪）</t>
        </is>
      </c>
      <c r="AI17" s="7" t="inlineStr">
        <is>
          <t>床面積の合計　（㎡）</t>
        </is>
      </c>
      <c r="AJ17" s="8" t="inlineStr">
        <is>
          <t>工事費予定額（万円）</t>
        </is>
      </c>
      <c r="AK17" s="9" t="inlineStr">
        <is>
          <t>面積単価
（万円/㎡）</t>
        </is>
      </c>
      <c r="AL17" s="10" t="inlineStr">
        <is>
          <t>面積単価
（万円/坪）</t>
        </is>
      </c>
      <c r="AM17" s="7" t="inlineStr">
        <is>
          <t>床面積の合計　（㎡）</t>
        </is>
      </c>
      <c r="AN17" s="8" t="inlineStr">
        <is>
          <t>工事費予定額（万円）</t>
        </is>
      </c>
      <c r="AO17" s="9" t="inlineStr">
        <is>
          <t>面積単価
（万円/㎡）</t>
        </is>
      </c>
      <c r="AP17" s="10" t="inlineStr">
        <is>
          <t>面積単価
（万円/坪）</t>
        </is>
      </c>
      <c r="AQ17" s="7" t="inlineStr">
        <is>
          <t>床面積の合計　（㎡）</t>
        </is>
      </c>
      <c r="AR17" s="8" t="inlineStr">
        <is>
          <t>工事費予定額（万円）</t>
        </is>
      </c>
      <c r="AS17" s="9" t="inlineStr">
        <is>
          <t>面積単価
（万円/㎡）</t>
        </is>
      </c>
      <c r="AT17" s="10" t="inlineStr">
        <is>
          <t>面積単価
（万円/坪）</t>
        </is>
      </c>
      <c r="AU17" s="7" t="inlineStr">
        <is>
          <t>床面積の合計　（㎡）</t>
        </is>
      </c>
      <c r="AV17" s="8" t="inlineStr">
        <is>
          <t>工事費予定額（万円）</t>
        </is>
      </c>
      <c r="AW17" s="9" t="inlineStr">
        <is>
          <t>面積単価
（万円/㎡）</t>
        </is>
      </c>
      <c r="AX17" s="10" t="inlineStr">
        <is>
          <t>面積単価
（万円/坪）</t>
        </is>
      </c>
      <c r="AY17" s="7" t="inlineStr">
        <is>
          <t>床面積の合計　（㎡）</t>
        </is>
      </c>
      <c r="AZ17" s="8" t="inlineStr">
        <is>
          <t>工事費予定額（万円）</t>
        </is>
      </c>
      <c r="BA17" s="9" t="inlineStr">
        <is>
          <t>面積単価
（万円/㎡）</t>
        </is>
      </c>
      <c r="BB17" s="10" t="inlineStr">
        <is>
          <t>面積単価
（万円/坪）</t>
        </is>
      </c>
      <c r="BC17" s="7" t="inlineStr">
        <is>
          <t>床面積の合計　（㎡）</t>
        </is>
      </c>
      <c r="BD17" s="8" t="inlineStr">
        <is>
          <t>工事費予定額（万円）</t>
        </is>
      </c>
      <c r="BE17" s="9" t="inlineStr">
        <is>
          <t>面積単価
（万円/㎡）</t>
        </is>
      </c>
      <c r="BF17" s="10" t="inlineStr">
        <is>
          <t>面積単価
（万円/坪）</t>
        </is>
      </c>
      <c r="BG17" s="7" t="inlineStr">
        <is>
          <t>床面積の合計　（㎡）</t>
        </is>
      </c>
      <c r="BH17" s="8" t="inlineStr">
        <is>
          <t>工事費予定額（万円）</t>
        </is>
      </c>
      <c r="BI17" s="9" t="inlineStr">
        <is>
          <t>面積単価
（万円/㎡）</t>
        </is>
      </c>
      <c r="BJ17" s="10" t="inlineStr">
        <is>
          <t>面積単価
（万円/坪）</t>
        </is>
      </c>
      <c r="BK17" s="7" t="inlineStr">
        <is>
          <t>床面積の合計　（㎡）</t>
        </is>
      </c>
      <c r="BL17" s="8" t="inlineStr">
        <is>
          <t>工事費予定額（万円）</t>
        </is>
      </c>
      <c r="BM17" s="9" t="inlineStr">
        <is>
          <t>面積単価
（万円/㎡）</t>
        </is>
      </c>
      <c r="BN17" s="10" t="inlineStr">
        <is>
          <t>面積単価
（万円/坪）</t>
        </is>
      </c>
      <c r="BO17" s="7" t="inlineStr">
        <is>
          <t>床面積の合計　（㎡）</t>
        </is>
      </c>
      <c r="BP17" s="8" t="inlineStr">
        <is>
          <t>工事費予定額（万円）</t>
        </is>
      </c>
      <c r="BQ17" s="9" t="inlineStr">
        <is>
          <t>面積単価
（万円/㎡）</t>
        </is>
      </c>
      <c r="BR17" s="10" t="inlineStr">
        <is>
          <t>面積単価
（万円/坪）</t>
        </is>
      </c>
      <c r="BS17" s="7" t="inlineStr">
        <is>
          <t>床面積の合計　（㎡）</t>
        </is>
      </c>
      <c r="BT17" s="8" t="inlineStr">
        <is>
          <t>工事費予定額（万円）</t>
        </is>
      </c>
      <c r="BU17" s="9" t="inlineStr">
        <is>
          <t>面積単価
（万円/㎡）</t>
        </is>
      </c>
      <c r="BV17" s="10" t="inlineStr">
        <is>
          <t>面積単価
（万円/坪）</t>
        </is>
      </c>
      <c r="BW17" s="7" t="inlineStr">
        <is>
          <t>床面積の合計　（㎡）</t>
        </is>
      </c>
      <c r="BX17" s="8" t="inlineStr">
        <is>
          <t>工事費予定額（万円）</t>
        </is>
      </c>
      <c r="BY17" s="9" t="inlineStr">
        <is>
          <t>面積単価
（万円/㎡）</t>
        </is>
      </c>
      <c r="BZ17" s="10" t="inlineStr">
        <is>
          <t>面積単価
（万円/坪）</t>
        </is>
      </c>
      <c r="CA17" s="7" t="inlineStr">
        <is>
          <t>床面積の合計　（㎡）</t>
        </is>
      </c>
      <c r="CB17" s="8" t="inlineStr">
        <is>
          <t>工事費予定額（万円）</t>
        </is>
      </c>
      <c r="CC17" s="9" t="inlineStr">
        <is>
          <t>面積単価
（万円/㎡）</t>
        </is>
      </c>
      <c r="CD17" s="10" t="inlineStr">
        <is>
          <t>面積単価
（万円/坪）</t>
        </is>
      </c>
      <c r="CE17" s="7" t="inlineStr">
        <is>
          <t>床面積の合計　（㎡）</t>
        </is>
      </c>
      <c r="CF17" s="8" t="inlineStr">
        <is>
          <t>工事費予定額（万円）</t>
        </is>
      </c>
      <c r="CG17" s="9" t="inlineStr">
        <is>
          <t>面積単価
（万円/㎡）</t>
        </is>
      </c>
      <c r="CH17" s="10" t="inlineStr">
        <is>
          <t>面積単価
（万円/坪）</t>
        </is>
      </c>
      <c r="CI17" s="7" t="inlineStr">
        <is>
          <t>床面積の合計　（㎡）</t>
        </is>
      </c>
      <c r="CJ17" s="8" t="inlineStr">
        <is>
          <t>工事費予定額（万円）</t>
        </is>
      </c>
      <c r="CK17" s="9" t="inlineStr">
        <is>
          <t>面積単価
（万円/㎡）</t>
        </is>
      </c>
      <c r="CL17" s="10" t="inlineStr">
        <is>
          <t>面積単価
（万円/坪）</t>
        </is>
      </c>
      <c r="CM17" s="7" t="inlineStr">
        <is>
          <t>床面積の合計　（㎡）</t>
        </is>
      </c>
      <c r="CN17" s="8" t="inlineStr">
        <is>
          <t>工事費予定額（万円）</t>
        </is>
      </c>
      <c r="CO17" s="9" t="inlineStr">
        <is>
          <t>面積単価
（万円/㎡）</t>
        </is>
      </c>
      <c r="CP17" s="10" t="inlineStr">
        <is>
          <t>面積単価
（万円/坪）</t>
        </is>
      </c>
      <c r="CQ17" s="7" t="inlineStr">
        <is>
          <t>床面積の合計　（㎡）</t>
        </is>
      </c>
      <c r="CR17" s="8" t="inlineStr">
        <is>
          <t>工事費予定額（万円）</t>
        </is>
      </c>
      <c r="CS17" s="9" t="inlineStr">
        <is>
          <t>面積単価
（万円/㎡）</t>
        </is>
      </c>
      <c r="CT17" s="10" t="inlineStr">
        <is>
          <t>面積単価
（万円/坪）</t>
        </is>
      </c>
      <c r="CU17" s="7" t="inlineStr">
        <is>
          <t>床面積の合計　（㎡）</t>
        </is>
      </c>
      <c r="CV17" s="8" t="inlineStr">
        <is>
          <t>工事費予定額（万円）</t>
        </is>
      </c>
      <c r="CW17" s="9" t="inlineStr">
        <is>
          <t>面積単価
（万円/㎡）</t>
        </is>
      </c>
      <c r="CX17" s="10" t="inlineStr">
        <is>
          <t>面積単価
（万円/坪）</t>
        </is>
      </c>
      <c r="CY17" s="7" t="inlineStr">
        <is>
          <t>床面積の合計　（㎡）</t>
        </is>
      </c>
      <c r="CZ17" s="8" t="inlineStr">
        <is>
          <t>工事費予定額（万円）</t>
        </is>
      </c>
      <c r="DA17" s="9" t="inlineStr">
        <is>
          <t>面積単価
（万円/㎡）</t>
        </is>
      </c>
      <c r="DB17" s="10" t="inlineStr">
        <is>
          <t>面積単価
（万円/坪）</t>
        </is>
      </c>
      <c r="DC17" s="7" t="inlineStr">
        <is>
          <t>床面積の合計　（㎡）</t>
        </is>
      </c>
      <c r="DD17" s="8" t="inlineStr">
        <is>
          <t>工事費予定額（万円）</t>
        </is>
      </c>
      <c r="DE17" s="9" t="inlineStr">
        <is>
          <t>面積単価
（万円/㎡）</t>
        </is>
      </c>
      <c r="DF17" s="10" t="inlineStr">
        <is>
          <t>面積単価
（万円/坪）</t>
        </is>
      </c>
      <c r="DG17" s="7" t="inlineStr">
        <is>
          <t>床面積の合計　（㎡）</t>
        </is>
      </c>
      <c r="DH17" s="8" t="inlineStr">
        <is>
          <t>工事費予定額（万円）</t>
        </is>
      </c>
      <c r="DI17" s="9" t="inlineStr">
        <is>
          <t>面積単価
（万円/㎡）</t>
        </is>
      </c>
      <c r="DJ17" s="10" t="inlineStr">
        <is>
          <t>面積単価
（万円/坪）</t>
        </is>
      </c>
      <c r="DK17" s="7" t="inlineStr">
        <is>
          <t>床面積の合計　（㎡）</t>
        </is>
      </c>
      <c r="DL17" s="8" t="inlineStr">
        <is>
          <t>工事費予定額（万円）</t>
        </is>
      </c>
      <c r="DM17" s="9" t="inlineStr">
        <is>
          <t>面積単価
（万円/㎡）</t>
        </is>
      </c>
      <c r="DN17" s="10" t="inlineStr">
        <is>
          <t>面積単価
（万円/坪）</t>
        </is>
      </c>
      <c r="DO17" s="7" t="inlineStr">
        <is>
          <t>床面積の合計　（㎡）</t>
        </is>
      </c>
      <c r="DP17" s="8" t="inlineStr">
        <is>
          <t>工事費予定額（万円）</t>
        </is>
      </c>
      <c r="DQ17" s="9" t="inlineStr">
        <is>
          <t>面積単価
（万円/㎡）</t>
        </is>
      </c>
      <c r="DR17" s="10" t="inlineStr">
        <is>
          <t>面積単価
（万円/坪）</t>
        </is>
      </c>
      <c r="DS17" s="7" t="inlineStr">
        <is>
          <t>床面積の合計　（㎡）</t>
        </is>
      </c>
      <c r="DT17" s="8" t="inlineStr">
        <is>
          <t>工事費予定額（万円）</t>
        </is>
      </c>
      <c r="DU17" s="9" t="inlineStr">
        <is>
          <t>面積単価
（万円/㎡）</t>
        </is>
      </c>
      <c r="DV17" s="10" t="inlineStr">
        <is>
          <t>面積単価
（万円/坪）</t>
        </is>
      </c>
      <c r="DW17" s="7" t="inlineStr">
        <is>
          <t>床面積の合計　（㎡）</t>
        </is>
      </c>
      <c r="DX17" s="8" t="inlineStr">
        <is>
          <t>工事費予定額（万円）</t>
        </is>
      </c>
      <c r="DY17" s="9" t="inlineStr">
        <is>
          <t>面積単価
（万円/㎡）</t>
        </is>
      </c>
      <c r="DZ17" s="10" t="inlineStr">
        <is>
          <t>面積単価
（万円/坪）</t>
        </is>
      </c>
      <c r="EA17" s="7" t="inlineStr">
        <is>
          <t>床面積の合計　（㎡）</t>
        </is>
      </c>
      <c r="EB17" s="8" t="inlineStr">
        <is>
          <t>工事費予定額（万円）</t>
        </is>
      </c>
      <c r="EC17" s="9" t="inlineStr">
        <is>
          <t>面積単価
（万円/㎡）</t>
        </is>
      </c>
      <c r="ED17" s="10" t="inlineStr">
        <is>
          <t>面積単価
（万円/坪）</t>
        </is>
      </c>
      <c r="EE17" s="7" t="inlineStr">
        <is>
          <t>床面積の合計　（㎡）</t>
        </is>
      </c>
      <c r="EF17" s="8" t="inlineStr">
        <is>
          <t>工事費予定額（万円）</t>
        </is>
      </c>
      <c r="EG17" s="9" t="inlineStr">
        <is>
          <t>面積単価
（万円/㎡）</t>
        </is>
      </c>
      <c r="EH17" s="10" t="inlineStr">
        <is>
          <t>面積単価
（万円/坪）</t>
        </is>
      </c>
      <c r="EI17" s="7" t="inlineStr">
        <is>
          <t>床面積の合計　（㎡）</t>
        </is>
      </c>
      <c r="EJ17" s="8" t="inlineStr">
        <is>
          <t>工事費予定額（万円）</t>
        </is>
      </c>
      <c r="EK17" s="9" t="inlineStr">
        <is>
          <t>面積単価
（万円/㎡）</t>
        </is>
      </c>
      <c r="EL17" s="10" t="inlineStr">
        <is>
          <t>面積単価
（万円/坪）</t>
        </is>
      </c>
      <c r="EM17" s="7" t="inlineStr">
        <is>
          <t>床面積の合計　（㎡）</t>
        </is>
      </c>
      <c r="EN17" s="8" t="inlineStr">
        <is>
          <t>工事費予定額（万円）</t>
        </is>
      </c>
      <c r="EO17" s="9" t="inlineStr">
        <is>
          <t>面積単価
（万円/㎡）</t>
        </is>
      </c>
      <c r="EP17" s="10" t="inlineStr">
        <is>
          <t>面積単価
（万円/坪）</t>
        </is>
      </c>
      <c r="EQ17" s="7" t="inlineStr">
        <is>
          <t>床面積の合計　（㎡）</t>
        </is>
      </c>
      <c r="ER17" s="8" t="inlineStr">
        <is>
          <t>工事費予定額（万円）</t>
        </is>
      </c>
      <c r="ES17" s="9" t="inlineStr">
        <is>
          <t>面積単価
（万円/㎡）</t>
        </is>
      </c>
      <c r="ET17" s="10" t="inlineStr">
        <is>
          <t>面積単価
（万円/坪）</t>
        </is>
      </c>
      <c r="EU17" s="7" t="inlineStr">
        <is>
          <t>床面積の合計　（㎡）</t>
        </is>
      </c>
      <c r="EV17" s="8" t="inlineStr">
        <is>
          <t>工事費予定額（万円）</t>
        </is>
      </c>
      <c r="EW17" s="9" t="inlineStr">
        <is>
          <t>面積単価
（万円/㎡）</t>
        </is>
      </c>
      <c r="EX17" s="10" t="inlineStr">
        <is>
          <t>面積単価
（万円/坪）</t>
        </is>
      </c>
      <c r="EY17" s="7" t="inlineStr">
        <is>
          <t>床面積の合計　（㎡）</t>
        </is>
      </c>
      <c r="EZ17" s="8" t="inlineStr">
        <is>
          <t>工事費予定額（万円）</t>
        </is>
      </c>
      <c r="FA17" s="9" t="inlineStr">
        <is>
          <t>面積単価
（万円/㎡）</t>
        </is>
      </c>
      <c r="FB17" s="10" t="inlineStr">
        <is>
          <t>面積単価
（万円/坪）</t>
        </is>
      </c>
      <c r="FC17" s="7" t="inlineStr">
        <is>
          <t>床面積の合計　（㎡）</t>
        </is>
      </c>
      <c r="FD17" s="8" t="inlineStr">
        <is>
          <t>工事費予定額（万円）</t>
        </is>
      </c>
      <c r="FE17" s="9" t="inlineStr">
        <is>
          <t>面積単価
（万円/㎡）</t>
        </is>
      </c>
      <c r="FF17" s="10" t="inlineStr">
        <is>
          <t>面積単価
（万円/坪）</t>
        </is>
      </c>
      <c r="FG17" s="7" t="inlineStr">
        <is>
          <t>床面積の合計　（㎡）</t>
        </is>
      </c>
      <c r="FH17" s="8" t="inlineStr">
        <is>
          <t>工事費予定額（万円）</t>
        </is>
      </c>
      <c r="FI17" s="9" t="inlineStr">
        <is>
          <t>面積単価
（万円/㎡）</t>
        </is>
      </c>
      <c r="FJ17" s="10" t="inlineStr">
        <is>
          <t>面積単価
（万円/坪）</t>
        </is>
      </c>
      <c r="FK17" s="7" t="inlineStr">
        <is>
          <t>床面積の合計　（㎡）</t>
        </is>
      </c>
      <c r="FL17" s="8" t="inlineStr">
        <is>
          <t>工事費予定額（万円）</t>
        </is>
      </c>
      <c r="FM17" s="9" t="inlineStr">
        <is>
          <t>面積単価
（万円/㎡）</t>
        </is>
      </c>
      <c r="FN17" s="10" t="inlineStr">
        <is>
          <t>面積単価
（万円/坪）</t>
        </is>
      </c>
      <c r="FO17" s="7" t="inlineStr">
        <is>
          <t>床面積の合計　（㎡）</t>
        </is>
      </c>
      <c r="FP17" s="8" t="inlineStr">
        <is>
          <t>工事費予定額（万円）</t>
        </is>
      </c>
      <c r="FQ17" s="9" t="inlineStr">
        <is>
          <t>面積単価
（万円/㎡）</t>
        </is>
      </c>
      <c r="FR17" s="10" t="inlineStr">
        <is>
          <t>面積単価
（万円/坪）</t>
        </is>
      </c>
      <c r="FS17" s="7" t="inlineStr">
        <is>
          <t>床面積の合計　（㎡）</t>
        </is>
      </c>
      <c r="FT17" s="8" t="inlineStr">
        <is>
          <t>工事費予定額（万円）</t>
        </is>
      </c>
      <c r="FU17" s="9" t="inlineStr">
        <is>
          <t>面積単価
（万円/㎡）</t>
        </is>
      </c>
      <c r="FV17" s="10" t="inlineStr">
        <is>
          <t>面積単価
（万円/坪）</t>
        </is>
      </c>
      <c r="FW17" s="7" t="inlineStr">
        <is>
          <t>床面積の合計　（㎡）</t>
        </is>
      </c>
      <c r="FX17" s="8" t="inlineStr">
        <is>
          <t>工事費予定額（万円）</t>
        </is>
      </c>
      <c r="FY17" s="9" t="inlineStr">
        <is>
          <t>面積単価
（万円/㎡）</t>
        </is>
      </c>
      <c r="FZ17" s="10" t="inlineStr">
        <is>
          <t>面積単価
（万円/坪）</t>
        </is>
      </c>
      <c r="GA17" s="7" t="inlineStr">
        <is>
          <t>床面積の合計　（㎡）</t>
        </is>
      </c>
      <c r="GB17" s="8" t="inlineStr">
        <is>
          <t>工事費予定額（万円）</t>
        </is>
      </c>
      <c r="GC17" s="9" t="inlineStr">
        <is>
          <t>面積単価
（万円/㎡）</t>
        </is>
      </c>
      <c r="GD17" s="10" t="inlineStr">
        <is>
          <t>面積単価
（万円/坪）</t>
        </is>
      </c>
      <c r="GE17" s="7" t="inlineStr">
        <is>
          <t>床面積の合計　（㎡）</t>
        </is>
      </c>
      <c r="GF17" s="8" t="inlineStr">
        <is>
          <t>工事費予定額（万円）</t>
        </is>
      </c>
      <c r="GG17" s="9" t="inlineStr">
        <is>
          <t>面積単価
（万円/㎡）</t>
        </is>
      </c>
      <c r="GH17" s="10" t="inlineStr">
        <is>
          <t>面積単価
（万円/坪）</t>
        </is>
      </c>
      <c r="GI17" s="7" t="inlineStr">
        <is>
          <t>床面積の合計　（㎡）</t>
        </is>
      </c>
      <c r="GJ17" s="8" t="inlineStr">
        <is>
          <t>工事費予定額（万円）</t>
        </is>
      </c>
      <c r="GK17" s="9" t="inlineStr">
        <is>
          <t>面積単価
（万円/㎡）</t>
        </is>
      </c>
      <c r="GL17" s="10" t="inlineStr">
        <is>
          <t>面積単価
（万円/坪）</t>
        </is>
      </c>
    </row>
    <row r="18">
      <c r="B18" s="2" t="inlineStr">
        <is>
          <t>全体</t>
        </is>
      </c>
      <c r="C18" s="11" t="n">
        <v>1103222</v>
      </c>
      <c r="D18" s="31" t="n">
        <v>19509216</v>
      </c>
      <c r="E18" s="40">
        <f>D18/C18</f>
        <v/>
      </c>
      <c r="F18" s="41">
        <f>E18*3.30578512</f>
        <v/>
      </c>
      <c r="G18" s="11" t="n">
        <v>159225</v>
      </c>
      <c r="H18" s="31" t="n">
        <v>5993976</v>
      </c>
      <c r="I18" s="40">
        <f>H18/G18</f>
        <v/>
      </c>
      <c r="J18" s="41">
        <f>I18*3.30578512</f>
        <v/>
      </c>
      <c r="K18" s="11" t="n">
        <v>75673</v>
      </c>
      <c r="L18" s="31" t="n">
        <v>1420880</v>
      </c>
      <c r="M18" s="40">
        <f>L18/K18</f>
        <v/>
      </c>
      <c r="N18" s="41">
        <f>M18*3.30578512</f>
        <v/>
      </c>
      <c r="O18" s="11" t="n">
        <v>41719</v>
      </c>
      <c r="P18" s="31" t="n">
        <v>1258500</v>
      </c>
      <c r="Q18" s="40">
        <f>P18/O18</f>
        <v/>
      </c>
      <c r="R18" s="41">
        <f>Q18*3.30578512</f>
        <v/>
      </c>
      <c r="S18" s="11" t="n">
        <v>36580</v>
      </c>
      <c r="T18" s="31" t="n">
        <v>711484</v>
      </c>
      <c r="U18" s="40">
        <f>T18/S18</f>
        <v/>
      </c>
      <c r="V18" s="41">
        <f>U18*3.30578512</f>
        <v/>
      </c>
      <c r="W18" s="11" t="n">
        <v>107748</v>
      </c>
      <c r="X18" s="31" t="n">
        <v>2528819</v>
      </c>
      <c r="Y18" s="40">
        <f>X18/W18</f>
        <v/>
      </c>
      <c r="Z18" s="41">
        <f>Y18*3.30578512</f>
        <v/>
      </c>
      <c r="AA18" s="11" t="n">
        <v>102739</v>
      </c>
      <c r="AB18" s="31" t="n">
        <v>3257069</v>
      </c>
      <c r="AC18" s="40">
        <f>AB18/AA18</f>
        <v/>
      </c>
      <c r="AD18" s="41">
        <f>AC18*3.30578512</f>
        <v/>
      </c>
      <c r="AE18" s="11" t="n">
        <v>466219</v>
      </c>
      <c r="AF18" s="31" t="n">
        <v>22831606</v>
      </c>
      <c r="AG18" s="40">
        <f>AF18/AE18</f>
        <v/>
      </c>
      <c r="AH18" s="41">
        <f>AG18*3.30578512</f>
        <v/>
      </c>
      <c r="AI18" s="11" t="n">
        <v>60919</v>
      </c>
      <c r="AJ18" s="31" t="n">
        <v>1858333</v>
      </c>
      <c r="AK18" s="40">
        <f>AJ18/AI18</f>
        <v/>
      </c>
      <c r="AL18" s="41">
        <f>AK18*3.30578512</f>
        <v/>
      </c>
      <c r="AM18" s="11" t="n">
        <v>122998</v>
      </c>
      <c r="AN18" s="31" t="n">
        <v>2556975</v>
      </c>
      <c r="AO18" s="40">
        <f>AN18/AM18</f>
        <v/>
      </c>
      <c r="AP18" s="41">
        <f>AO18*3.30578512</f>
        <v/>
      </c>
      <c r="AQ18" s="11" t="n">
        <v>51633</v>
      </c>
      <c r="AR18" s="31" t="n">
        <v>1309923</v>
      </c>
      <c r="AS18" s="40">
        <f>AR18/AQ18</f>
        <v/>
      </c>
      <c r="AT18" s="41">
        <f>AS18*3.30578512</f>
        <v/>
      </c>
      <c r="AU18" s="11" t="n">
        <v>143935</v>
      </c>
      <c r="AV18" s="31" t="n">
        <v>5404134</v>
      </c>
      <c r="AW18" s="40">
        <f>AV18/AU18</f>
        <v/>
      </c>
      <c r="AX18" s="41">
        <f>AW18*3.30578512</f>
        <v/>
      </c>
      <c r="AY18" s="11" t="n">
        <v>39881</v>
      </c>
      <c r="AZ18" s="31" t="n">
        <v>1205900</v>
      </c>
      <c r="BA18" s="40">
        <f>AZ18/AY18</f>
        <v/>
      </c>
      <c r="BB18" s="41">
        <f>BA18*3.30578512</f>
        <v/>
      </c>
      <c r="BC18" s="11" t="n">
        <v>143379</v>
      </c>
      <c r="BD18" s="31" t="n">
        <v>3659626</v>
      </c>
      <c r="BE18" s="40">
        <f>BD18/BC18</f>
        <v/>
      </c>
      <c r="BF18" s="41">
        <f>BE18*3.30578512</f>
        <v/>
      </c>
      <c r="BG18" s="11" t="n">
        <v>98141</v>
      </c>
      <c r="BH18" s="31" t="n">
        <v>6161740</v>
      </c>
      <c r="BI18" s="40">
        <f>BH18/BG18</f>
        <v/>
      </c>
      <c r="BJ18" s="41">
        <f>BI18*3.30578512</f>
        <v/>
      </c>
      <c r="BK18" s="11" t="n">
        <v>63717</v>
      </c>
      <c r="BL18" s="31" t="n">
        <v>1194731</v>
      </c>
      <c r="BM18" s="40">
        <f>BL18/BK18</f>
        <v/>
      </c>
      <c r="BN18" s="41">
        <f>BM18*3.30578512</f>
        <v/>
      </c>
      <c r="BO18" s="11" t="n">
        <v>109508</v>
      </c>
      <c r="BP18" s="31" t="n">
        <v>3975640</v>
      </c>
      <c r="BQ18" s="40">
        <f>BP18/BO18</f>
        <v/>
      </c>
      <c r="BR18" s="41">
        <f>BQ18*3.30578512</f>
        <v/>
      </c>
      <c r="BS18" s="11" t="n">
        <v>22215</v>
      </c>
      <c r="BT18" s="31" t="n">
        <v>576600</v>
      </c>
      <c r="BU18" s="40">
        <f>BT18/BS18</f>
        <v/>
      </c>
      <c r="BV18" s="41">
        <f>BU18*3.30578512</f>
        <v/>
      </c>
      <c r="BW18" s="11" t="n">
        <v>120167</v>
      </c>
      <c r="BX18" s="31" t="n">
        <v>5057849</v>
      </c>
      <c r="BY18" s="40">
        <f>BX18/BW18</f>
        <v/>
      </c>
      <c r="BZ18" s="41">
        <f>BY18*3.30578512</f>
        <v/>
      </c>
      <c r="CA18" s="11" t="n">
        <v>100204</v>
      </c>
      <c r="CB18" s="31" t="n">
        <v>4395390</v>
      </c>
      <c r="CC18" s="40">
        <f>CB18/CA18</f>
        <v/>
      </c>
      <c r="CD18" s="41">
        <f>CC18*3.30578512</f>
        <v/>
      </c>
      <c r="CE18" s="11" t="n">
        <v>44090</v>
      </c>
      <c r="CF18" s="31" t="n">
        <v>1815671</v>
      </c>
      <c r="CG18" s="40">
        <f>CF18/CE18</f>
        <v/>
      </c>
      <c r="CH18" s="41">
        <f>CG18*3.30578512</f>
        <v/>
      </c>
      <c r="CI18" s="11" t="n">
        <v>40642</v>
      </c>
      <c r="CJ18" s="31" t="n">
        <v>1627548</v>
      </c>
      <c r="CK18" s="40">
        <f>CJ18/CI18</f>
        <v/>
      </c>
      <c r="CL18" s="41">
        <f>CK18*3.30578512</f>
        <v/>
      </c>
      <c r="CM18" s="11" t="n">
        <v>156857</v>
      </c>
      <c r="CN18" s="31" t="n">
        <v>5989746</v>
      </c>
      <c r="CO18" s="40">
        <f>CN18/CM18</f>
        <v/>
      </c>
      <c r="CP18" s="41">
        <f>CO18*3.30578512</f>
        <v/>
      </c>
      <c r="CQ18" s="11" t="n">
        <v>129724</v>
      </c>
      <c r="CR18" s="31" t="n">
        <v>4570680</v>
      </c>
      <c r="CS18" s="40">
        <f>CR18/CQ18</f>
        <v/>
      </c>
      <c r="CT18" s="41">
        <f>CS18*3.30578512</f>
        <v/>
      </c>
      <c r="CU18" s="11" t="n">
        <v>69386</v>
      </c>
      <c r="CV18" s="31" t="n">
        <v>3711854</v>
      </c>
      <c r="CW18" s="40">
        <f>CV18/CU18</f>
        <v/>
      </c>
      <c r="CX18" s="41">
        <f>CW18*3.30578512</f>
        <v/>
      </c>
      <c r="CY18" s="11" t="n">
        <v>453605</v>
      </c>
      <c r="CZ18" s="31" t="n">
        <v>17408583</v>
      </c>
      <c r="DA18" s="40">
        <f>CZ18/CY18</f>
        <v/>
      </c>
      <c r="DB18" s="41">
        <f>DA18*3.30578512</f>
        <v/>
      </c>
      <c r="DC18" s="11" t="n">
        <v>70556</v>
      </c>
      <c r="DD18" s="31" t="n">
        <v>3013703</v>
      </c>
      <c r="DE18" s="40">
        <f>DD18/DC18</f>
        <v/>
      </c>
      <c r="DF18" s="41">
        <f>DE18*3.30578512</f>
        <v/>
      </c>
      <c r="DG18" s="11" t="n">
        <v>332838</v>
      </c>
      <c r="DH18" s="31" t="n">
        <v>15401400</v>
      </c>
      <c r="DI18" s="40">
        <f>DH18/DG18</f>
        <v/>
      </c>
      <c r="DJ18" s="41">
        <f>DI18*3.30578512</f>
        <v/>
      </c>
      <c r="DK18" s="11" t="n">
        <v>236995</v>
      </c>
      <c r="DL18" s="31" t="n">
        <v>14028450</v>
      </c>
      <c r="DM18" s="40">
        <f>DL18/DK18</f>
        <v/>
      </c>
      <c r="DN18" s="41">
        <f>DM18*3.30578512</f>
        <v/>
      </c>
      <c r="DO18" s="11" t="n">
        <v>108920</v>
      </c>
      <c r="DP18" s="31" t="n">
        <v>2562775</v>
      </c>
      <c r="DQ18" s="40">
        <f>DP18/DO18</f>
        <v/>
      </c>
      <c r="DR18" s="41">
        <f>DQ18*3.30578512</f>
        <v/>
      </c>
      <c r="DS18" s="11" t="n">
        <v>55373</v>
      </c>
      <c r="DT18" s="31" t="n">
        <v>2008887</v>
      </c>
      <c r="DU18" s="40">
        <f>DT18/DS18</f>
        <v/>
      </c>
      <c r="DV18" s="41">
        <f>DU18*3.30578512</f>
        <v/>
      </c>
      <c r="DW18" s="11" t="n">
        <v>523788</v>
      </c>
      <c r="DX18" s="31" t="n">
        <v>19125330</v>
      </c>
      <c r="DY18" s="40">
        <f>DX18/DW18</f>
        <v/>
      </c>
      <c r="DZ18" s="41">
        <f>DY18*3.30578512</f>
        <v/>
      </c>
      <c r="EA18" s="11" t="n">
        <v>126018</v>
      </c>
      <c r="EB18" s="31" t="n">
        <v>10329075</v>
      </c>
      <c r="EC18" s="40">
        <f>EB18/EA18</f>
        <v/>
      </c>
      <c r="ED18" s="41">
        <f>EC18*3.30578512</f>
        <v/>
      </c>
      <c r="EE18" s="11" t="n">
        <v>56886</v>
      </c>
      <c r="EF18" s="31" t="n">
        <v>2276608</v>
      </c>
      <c r="EG18" s="40">
        <f>EF18/EE18</f>
        <v/>
      </c>
      <c r="EH18" s="41">
        <f>EG18*3.30578512</f>
        <v/>
      </c>
      <c r="EI18" s="11" t="n">
        <v>89961</v>
      </c>
      <c r="EJ18" s="31" t="n">
        <v>3861400</v>
      </c>
      <c r="EK18" s="40">
        <f>EJ18/EI18</f>
        <v/>
      </c>
      <c r="EL18" s="41">
        <f>EK18*3.30578512</f>
        <v/>
      </c>
      <c r="EM18" s="11" t="n">
        <v>262130</v>
      </c>
      <c r="EN18" s="31" t="n">
        <v>5048134</v>
      </c>
      <c r="EO18" s="40">
        <f>EN18/EM18</f>
        <v/>
      </c>
      <c r="EP18" s="41">
        <f>EO18*3.30578512</f>
        <v/>
      </c>
      <c r="EQ18" s="11" t="n">
        <v>91150</v>
      </c>
      <c r="ER18" s="31" t="n">
        <v>2552985</v>
      </c>
      <c r="ES18" s="40">
        <f>ER18/EQ18</f>
        <v/>
      </c>
      <c r="ET18" s="41">
        <f>ES18*3.30578512</f>
        <v/>
      </c>
      <c r="EU18" s="11" t="n">
        <v>126520</v>
      </c>
      <c r="EV18" s="31" t="n">
        <v>4244079</v>
      </c>
      <c r="EW18" s="40">
        <f>EV18/EU18</f>
        <v/>
      </c>
      <c r="EX18" s="41">
        <f>EW18*3.30578512</f>
        <v/>
      </c>
      <c r="EY18" s="11" t="n">
        <v>116427</v>
      </c>
      <c r="EZ18" s="31" t="n">
        <v>7631509</v>
      </c>
      <c r="FA18" s="40">
        <f>EZ18/EY18</f>
        <v/>
      </c>
      <c r="FB18" s="41">
        <f>FA18*3.30578512</f>
        <v/>
      </c>
      <c r="FC18" s="11" t="n">
        <v>512631</v>
      </c>
      <c r="FD18" s="31" t="n">
        <v>33631871</v>
      </c>
      <c r="FE18" s="40">
        <f>FD18/FC18</f>
        <v/>
      </c>
      <c r="FF18" s="41">
        <f>FE18*3.30578512</f>
        <v/>
      </c>
      <c r="FG18" s="11" t="n">
        <v>981465</v>
      </c>
      <c r="FH18" s="31" t="n">
        <v>74897323</v>
      </c>
      <c r="FI18" s="40">
        <f>FH18/FG18</f>
        <v/>
      </c>
      <c r="FJ18" s="41">
        <f>FI18*3.30578512</f>
        <v/>
      </c>
      <c r="FK18" s="11" t="n">
        <v>421367</v>
      </c>
      <c r="FL18" s="31" t="n">
        <v>19018430</v>
      </c>
      <c r="FM18" s="40">
        <f>FL18/FK18</f>
        <v/>
      </c>
      <c r="FN18" s="41">
        <f>FM18*3.30578512</f>
        <v/>
      </c>
      <c r="FO18" s="11" t="n">
        <v>324000</v>
      </c>
      <c r="FP18" s="31" t="n">
        <v>13701446</v>
      </c>
      <c r="FQ18" s="40">
        <f>FP18/FO18</f>
        <v/>
      </c>
      <c r="FR18" s="41">
        <f>FQ18*3.30578512</f>
        <v/>
      </c>
      <c r="FS18" s="11" t="n">
        <v>265842</v>
      </c>
      <c r="FT18" s="31" t="n">
        <v>9772874</v>
      </c>
      <c r="FU18" s="40">
        <f>FT18/FS18</f>
        <v/>
      </c>
      <c r="FV18" s="41">
        <f>FU18*3.30578512</f>
        <v/>
      </c>
      <c r="FW18" s="11" t="n">
        <v>258130</v>
      </c>
      <c r="FX18" s="31" t="n">
        <v>14909790</v>
      </c>
      <c r="FY18" s="40">
        <f>FX18/FW18</f>
        <v/>
      </c>
      <c r="FZ18" s="41">
        <f>FY18*3.30578512</f>
        <v/>
      </c>
      <c r="GA18" s="11" t="n">
        <v>734078</v>
      </c>
      <c r="GB18" s="31" t="n">
        <v>38824049</v>
      </c>
      <c r="GC18" s="40">
        <f>GB18/GA18</f>
        <v/>
      </c>
      <c r="GD18" s="41">
        <f>GC18*3.30578512</f>
        <v/>
      </c>
      <c r="GE18" s="11" t="n">
        <v>274612</v>
      </c>
      <c r="GF18" s="31" t="n">
        <v>10789496</v>
      </c>
      <c r="GG18" s="40">
        <f>GF18/GE18</f>
        <v/>
      </c>
      <c r="GH18" s="41">
        <f>GG18*3.30578512</f>
        <v/>
      </c>
      <c r="GI18" s="11" t="n">
        <v>197908</v>
      </c>
      <c r="GJ18" s="31" t="n">
        <v>8660604</v>
      </c>
      <c r="GK18" s="40">
        <f>GJ18/GI18</f>
        <v/>
      </c>
      <c r="GL18" s="41">
        <f>GK18*3.30578512</f>
        <v/>
      </c>
    </row>
    <row r="19">
      <c r="B19" s="2" t="inlineStr">
        <is>
          <t>事務所</t>
        </is>
      </c>
      <c r="C19" s="11" t="n">
        <v>498519</v>
      </c>
      <c r="D19" s="31" t="n">
        <v>9638971</v>
      </c>
      <c r="E19" s="40">
        <f>D19/C19</f>
        <v/>
      </c>
      <c r="F19" s="41">
        <f>E19*3.30578512</f>
        <v/>
      </c>
      <c r="G19" s="11" t="n">
        <v>80650</v>
      </c>
      <c r="H19" s="31" t="n">
        <v>3313000</v>
      </c>
      <c r="I19" s="40">
        <f>H19/G19</f>
        <v/>
      </c>
      <c r="J19" s="41">
        <f>I19*3.30578512</f>
        <v/>
      </c>
      <c r="K19" s="11" t="n">
        <v>4639</v>
      </c>
      <c r="L19" s="31" t="n">
        <v>122000</v>
      </c>
      <c r="M19" s="40">
        <f>L19/K19</f>
        <v/>
      </c>
      <c r="N19" s="41">
        <f>M19*3.30578512</f>
        <v/>
      </c>
      <c r="O19" s="11" t="n">
        <v>15483</v>
      </c>
      <c r="P19" s="31" t="n">
        <v>580450</v>
      </c>
      <c r="Q19" s="40">
        <f>P19/O19</f>
        <v/>
      </c>
      <c r="R19" s="41">
        <f>Q19*3.30578512</f>
        <v/>
      </c>
      <c r="S19" s="11" t="n">
        <v>1714</v>
      </c>
      <c r="T19" s="31" t="n">
        <v>35400</v>
      </c>
      <c r="U19" s="40">
        <f>T19/S19</f>
        <v/>
      </c>
      <c r="V19" s="41">
        <f>U19*3.30578512</f>
        <v/>
      </c>
      <c r="W19" s="11" t="n">
        <v>24514</v>
      </c>
      <c r="X19" s="31" t="n">
        <v>969760</v>
      </c>
      <c r="Y19" s="40">
        <f>X19/W19</f>
        <v/>
      </c>
      <c r="Z19" s="41">
        <f>Y19*3.30578512</f>
        <v/>
      </c>
      <c r="AA19" s="11" t="n">
        <v>44780</v>
      </c>
      <c r="AB19" s="31" t="n">
        <v>1883437</v>
      </c>
      <c r="AC19" s="40">
        <f>AB19/AA19</f>
        <v/>
      </c>
      <c r="AD19" s="41">
        <f>AC19*3.30578512</f>
        <v/>
      </c>
      <c r="AE19" s="11" t="n">
        <v>234789</v>
      </c>
      <c r="AF19" s="31" t="n">
        <v>13363500</v>
      </c>
      <c r="AG19" s="40">
        <f>AF19/AE19</f>
        <v/>
      </c>
      <c r="AH19" s="41">
        <f>AG19*3.30578512</f>
        <v/>
      </c>
      <c r="AI19" s="11" t="n">
        <v>2280</v>
      </c>
      <c r="AJ19" s="31" t="n">
        <v>75000</v>
      </c>
      <c r="AK19" s="40">
        <f>AJ19/AI19</f>
        <v/>
      </c>
      <c r="AL19" s="41">
        <f>AK19*3.30578512</f>
        <v/>
      </c>
      <c r="AM19" s="11" t="n">
        <v>5892</v>
      </c>
      <c r="AN19" s="31" t="n">
        <v>327700</v>
      </c>
      <c r="AO19" s="40">
        <f>AN19/AM19</f>
        <v/>
      </c>
      <c r="AP19" s="41">
        <f>AO19*3.30578512</f>
        <v/>
      </c>
      <c r="AQ19" s="11" t="n">
        <v>797</v>
      </c>
      <c r="AR19" s="31" t="n">
        <v>20184</v>
      </c>
      <c r="AS19" s="40">
        <f>AR19/AQ19</f>
        <v/>
      </c>
      <c r="AT19" s="41">
        <f>AS19*3.30578512</f>
        <v/>
      </c>
      <c r="AU19" s="11" t="n">
        <v>29687</v>
      </c>
      <c r="AV19" s="31" t="n">
        <v>1023892</v>
      </c>
      <c r="AW19" s="40">
        <f>AV19/AU19</f>
        <v/>
      </c>
      <c r="AX19" s="41">
        <f>AW19*3.30578512</f>
        <v/>
      </c>
      <c r="AY19" s="11" t="n">
        <v>915</v>
      </c>
      <c r="AZ19" s="31" t="n">
        <v>24200</v>
      </c>
      <c r="BA19" s="40">
        <f>AZ19/AY19</f>
        <v/>
      </c>
      <c r="BB19" s="41">
        <f>BA19*3.30578512</f>
        <v/>
      </c>
      <c r="BC19" s="11" t="n">
        <v>46977</v>
      </c>
      <c r="BD19" s="31" t="n">
        <v>1820500</v>
      </c>
      <c r="BE19" s="40">
        <f>BD19/BC19</f>
        <v/>
      </c>
      <c r="BF19" s="41">
        <f>BE19*3.30578512</f>
        <v/>
      </c>
      <c r="BG19" s="11" t="n">
        <v>22073</v>
      </c>
      <c r="BH19" s="31" t="n">
        <v>1270000</v>
      </c>
      <c r="BI19" s="40">
        <f>BH19/BG19</f>
        <v/>
      </c>
      <c r="BJ19" s="41">
        <f>BI19*3.30578512</f>
        <v/>
      </c>
      <c r="BK19" s="11" t="n">
        <v>9274</v>
      </c>
      <c r="BL19" s="31" t="n">
        <v>397100</v>
      </c>
      <c r="BM19" s="40">
        <f>BL19/BK19</f>
        <v/>
      </c>
      <c r="BN19" s="41">
        <f>BM19*3.30578512</f>
        <v/>
      </c>
      <c r="BO19" s="11" t="n">
        <v>63729</v>
      </c>
      <c r="BP19" s="31" t="n">
        <v>2824400</v>
      </c>
      <c r="BQ19" s="40">
        <f>BP19/BO19</f>
        <v/>
      </c>
      <c r="BR19" s="41">
        <f>BQ19*3.30578512</f>
        <v/>
      </c>
      <c r="BS19" s="11" t="n">
        <v>3286</v>
      </c>
      <c r="BT19" s="31" t="n">
        <v>111200</v>
      </c>
      <c r="BU19" s="40">
        <f>BT19/BS19</f>
        <v/>
      </c>
      <c r="BV19" s="41">
        <f>BU19*3.30578512</f>
        <v/>
      </c>
      <c r="BW19" s="11" t="n">
        <v>91302</v>
      </c>
      <c r="BX19" s="31" t="n">
        <v>4254000</v>
      </c>
      <c r="BY19" s="40">
        <f>BX19/BW19</f>
        <v/>
      </c>
      <c r="BZ19" s="41">
        <f>BY19*3.30578512</f>
        <v/>
      </c>
      <c r="CA19" s="11" t="n">
        <v>60478</v>
      </c>
      <c r="CB19" s="31" t="n">
        <v>3539990</v>
      </c>
      <c r="CC19" s="40">
        <f>CB19/CA19</f>
        <v/>
      </c>
      <c r="CD19" s="41">
        <f>CC19*3.30578512</f>
        <v/>
      </c>
      <c r="CE19" s="11" t="n">
        <v>4796</v>
      </c>
      <c r="CF19" s="31" t="n">
        <v>191500</v>
      </c>
      <c r="CG19" s="40">
        <f>CF19/CE19</f>
        <v/>
      </c>
      <c r="CH19" s="41">
        <f>CG19*3.30578512</f>
        <v/>
      </c>
      <c r="CI19" s="11" t="n">
        <v>21176</v>
      </c>
      <c r="CJ19" s="31" t="n">
        <v>1108400</v>
      </c>
      <c r="CK19" s="40">
        <f>CJ19/CI19</f>
        <v/>
      </c>
      <c r="CL19" s="41">
        <f>CK19*3.30578512</f>
        <v/>
      </c>
      <c r="CM19" s="11" t="n">
        <v>121848</v>
      </c>
      <c r="CN19" s="31" t="n">
        <v>5081595</v>
      </c>
      <c r="CO19" s="40">
        <f>CN19/CM19</f>
        <v/>
      </c>
      <c r="CP19" s="41">
        <f>CO19*3.30578512</f>
        <v/>
      </c>
      <c r="CQ19" s="11" t="n">
        <v>96242</v>
      </c>
      <c r="CR19" s="31" t="n">
        <v>3775665</v>
      </c>
      <c r="CS19" s="40">
        <f>CR19/CQ19</f>
        <v/>
      </c>
      <c r="CT19" s="41">
        <f>CS19*3.30578512</f>
        <v/>
      </c>
      <c r="CU19" s="11" t="n">
        <v>4155</v>
      </c>
      <c r="CV19" s="31" t="n">
        <v>149000</v>
      </c>
      <c r="CW19" s="40">
        <f>CV19/CU19</f>
        <v/>
      </c>
      <c r="CX19" s="41">
        <f>CW19*3.30578512</f>
        <v/>
      </c>
      <c r="CY19" s="11" t="n">
        <v>412702</v>
      </c>
      <c r="CZ19" s="31" t="n">
        <v>15230143</v>
      </c>
      <c r="DA19" s="40">
        <f>CZ19/CY19</f>
        <v/>
      </c>
      <c r="DB19" s="41">
        <f>DA19*3.30578512</f>
        <v/>
      </c>
      <c r="DC19" s="11" t="n">
        <v>31070</v>
      </c>
      <c r="DD19" s="31" t="n">
        <v>706393</v>
      </c>
      <c r="DE19" s="40">
        <f>DD19/DC19</f>
        <v/>
      </c>
      <c r="DF19" s="41">
        <f>DE19*3.30578512</f>
        <v/>
      </c>
      <c r="DG19" s="11" t="n">
        <v>305819</v>
      </c>
      <c r="DH19" s="31" t="n">
        <v>14492500</v>
      </c>
      <c r="DI19" s="40">
        <f>DH19/DG19</f>
        <v/>
      </c>
      <c r="DJ19" s="41">
        <f>DI19*3.30578512</f>
        <v/>
      </c>
      <c r="DK19" s="11" t="n">
        <v>736</v>
      </c>
      <c r="DL19" s="31" t="n">
        <v>25800</v>
      </c>
      <c r="DM19" s="40">
        <f>DL19/DK19</f>
        <v/>
      </c>
      <c r="DN19" s="41">
        <f>DM19*3.30578512</f>
        <v/>
      </c>
      <c r="DO19" s="11" t="n">
        <v>78458</v>
      </c>
      <c r="DP19" s="31" t="n">
        <v>1191275</v>
      </c>
      <c r="DQ19" s="40">
        <f>DP19/DO19</f>
        <v/>
      </c>
      <c r="DR19" s="41">
        <f>DQ19*3.30578512</f>
        <v/>
      </c>
      <c r="DS19" s="11" t="n">
        <v>15607</v>
      </c>
      <c r="DT19" s="31" t="n">
        <v>778000</v>
      </c>
      <c r="DU19" s="40">
        <f>DT19/DS19</f>
        <v/>
      </c>
      <c r="DV19" s="41">
        <f>DU19*3.30578512</f>
        <v/>
      </c>
      <c r="DW19" s="11" t="n">
        <v>398799</v>
      </c>
      <c r="DX19" s="31" t="n">
        <v>16427800</v>
      </c>
      <c r="DY19" s="40">
        <f>DX19/DW19</f>
        <v/>
      </c>
      <c r="DZ19" s="41">
        <f>DY19*3.30578512</f>
        <v/>
      </c>
      <c r="EA19" s="11" t="n">
        <v>2434</v>
      </c>
      <c r="EB19" s="31" t="n">
        <v>170000</v>
      </c>
      <c r="EC19" s="40">
        <f>EB19/EA19</f>
        <v/>
      </c>
      <c r="ED19" s="41">
        <f>EC19*3.30578512</f>
        <v/>
      </c>
      <c r="EE19" s="11" t="n">
        <v>11024</v>
      </c>
      <c r="EF19" s="31" t="n">
        <v>689900</v>
      </c>
      <c r="EG19" s="40">
        <f>EF19/EE19</f>
        <v/>
      </c>
      <c r="EH19" s="41">
        <f>EG19*3.30578512</f>
        <v/>
      </c>
      <c r="EI19" s="11" t="n">
        <v>32876</v>
      </c>
      <c r="EJ19" s="31" t="n">
        <v>1239800</v>
      </c>
      <c r="EK19" s="40">
        <f>EJ19/EI19</f>
        <v/>
      </c>
      <c r="EL19" s="41">
        <f>EK19*3.30578512</f>
        <v/>
      </c>
      <c r="EM19" s="11" t="n">
        <v>1569</v>
      </c>
      <c r="EN19" s="31" t="n">
        <v>88500</v>
      </c>
      <c r="EO19" s="40">
        <f>EN19/EM19</f>
        <v/>
      </c>
      <c r="EP19" s="41">
        <f>EO19*3.30578512</f>
        <v/>
      </c>
      <c r="EQ19" s="11" t="n">
        <v>12984</v>
      </c>
      <c r="ER19" s="31" t="n">
        <v>793800</v>
      </c>
      <c r="ES19" s="40">
        <f>ER19/EQ19</f>
        <v/>
      </c>
      <c r="ET19" s="41">
        <f>ES19*3.30578512</f>
        <v/>
      </c>
      <c r="EU19" s="11" t="n">
        <v>23484</v>
      </c>
      <c r="EV19" s="31" t="n">
        <v>926228.83504</v>
      </c>
      <c r="EW19" s="40">
        <f>EV19/EU19</f>
        <v/>
      </c>
      <c r="EX19" s="41">
        <f>EW19*3.30578512</f>
        <v/>
      </c>
      <c r="EY19" s="11" t="n">
        <v>10211</v>
      </c>
      <c r="EZ19" s="31" t="n">
        <v>538339.59343</v>
      </c>
      <c r="FA19" s="40">
        <f>EZ19/EY19</f>
        <v/>
      </c>
      <c r="FB19" s="41">
        <f>FA19*3.30578512</f>
        <v/>
      </c>
      <c r="FC19" s="11" t="n">
        <v>263207</v>
      </c>
      <c r="FD19" s="31" t="n">
        <v>18687952.45525</v>
      </c>
      <c r="FE19" s="40">
        <f>FD19/FC19</f>
        <v/>
      </c>
      <c r="FF19" s="41">
        <f>FE19*3.30578512</f>
        <v/>
      </c>
      <c r="FG19" s="11" t="n">
        <v>120803</v>
      </c>
      <c r="FH19" s="31" t="n">
        <v>7146627.28308</v>
      </c>
      <c r="FI19" s="40">
        <f>FH19/FG19</f>
        <v/>
      </c>
      <c r="FJ19" s="41">
        <f>FI19*3.30578512</f>
        <v/>
      </c>
      <c r="FK19" s="11" t="n">
        <v>83882</v>
      </c>
      <c r="FL19" s="31" t="n">
        <v>4607638.76847</v>
      </c>
      <c r="FM19" s="40">
        <f>FL19/FK19</f>
        <v/>
      </c>
      <c r="FN19" s="41">
        <f>FM19*3.30578512</f>
        <v/>
      </c>
      <c r="FO19" s="11" t="n">
        <v>59418</v>
      </c>
      <c r="FP19" s="31" t="n">
        <v>2871328.75438</v>
      </c>
      <c r="FQ19" s="40">
        <f>FP19/FO19</f>
        <v/>
      </c>
      <c r="FR19" s="41">
        <f>FQ19*3.30578512</f>
        <v/>
      </c>
      <c r="FS19" s="11" t="n">
        <v>66468</v>
      </c>
      <c r="FT19" s="31" t="n">
        <v>3447883.42608</v>
      </c>
      <c r="FU19" s="40">
        <f>FT19/FS19</f>
        <v/>
      </c>
      <c r="FV19" s="41">
        <f>FU19*3.30578512</f>
        <v/>
      </c>
      <c r="FW19" s="11" t="n">
        <v>57755</v>
      </c>
      <c r="FX19" s="31" t="n">
        <v>5069906.84627</v>
      </c>
      <c r="FY19" s="40">
        <f>FX19/FW19</f>
        <v/>
      </c>
      <c r="FZ19" s="41">
        <f>FY19*3.30578512</f>
        <v/>
      </c>
      <c r="GA19" s="35" t="n">
        <v>208895</v>
      </c>
      <c r="GB19" s="36" t="n">
        <v>16048052.1871</v>
      </c>
      <c r="GC19" s="40">
        <f>GB19/GA19</f>
        <v/>
      </c>
      <c r="GD19" s="41">
        <f>GC19*3.30578512</f>
        <v/>
      </c>
      <c r="GE19" s="35" t="n">
        <v>68750</v>
      </c>
      <c r="GF19" s="36" t="n">
        <v>3714905.34334</v>
      </c>
      <c r="GG19" s="40">
        <f>GF19/GE19</f>
        <v/>
      </c>
      <c r="GH19" s="41">
        <f>GG19*3.30578512</f>
        <v/>
      </c>
      <c r="GI19" s="35" t="n">
        <v>27803</v>
      </c>
      <c r="GJ19" s="36" t="n">
        <v>1217216</v>
      </c>
      <c r="GK19" s="40">
        <f>GJ19/GI19</f>
        <v/>
      </c>
      <c r="GL19" s="41">
        <f>GK19*3.30578512</f>
        <v/>
      </c>
    </row>
    <row r="20">
      <c r="B20" s="2" t="inlineStr">
        <is>
          <t>店舗</t>
        </is>
      </c>
      <c r="C20" s="11" t="n">
        <v>227898</v>
      </c>
      <c r="D20" s="31" t="n">
        <v>2802810</v>
      </c>
      <c r="E20" s="40">
        <f>D20/C20</f>
        <v/>
      </c>
      <c r="F20" s="41">
        <f>E20*3.30578512</f>
        <v/>
      </c>
      <c r="G20" s="11" t="n">
        <v>1427</v>
      </c>
      <c r="H20" s="31" t="n">
        <v>48000</v>
      </c>
      <c r="I20" s="40">
        <f>H20/G20</f>
        <v/>
      </c>
      <c r="J20" s="41">
        <f>I20*3.30578512</f>
        <v/>
      </c>
      <c r="K20" s="11" t="n">
        <v>5729</v>
      </c>
      <c r="L20" s="31" t="n">
        <v>129000</v>
      </c>
      <c r="M20" s="40">
        <f>L20/K20</f>
        <v/>
      </c>
      <c r="N20" s="41">
        <f>M20*3.30578512</f>
        <v/>
      </c>
      <c r="O20" s="11" t="n">
        <v>2607</v>
      </c>
      <c r="P20" s="31" t="n">
        <v>87800</v>
      </c>
      <c r="Q20" s="40">
        <f>P20/O20</f>
        <v/>
      </c>
      <c r="R20" s="41">
        <f>Q20*3.30578512</f>
        <v/>
      </c>
      <c r="S20" s="11" t="n">
        <v>10534</v>
      </c>
      <c r="T20" s="31" t="n">
        <v>270000</v>
      </c>
      <c r="U20" s="40">
        <f>T20/S20</f>
        <v/>
      </c>
      <c r="V20" s="41">
        <f>U20*3.30578512</f>
        <v/>
      </c>
      <c r="W20" s="11" t="n">
        <v>2176</v>
      </c>
      <c r="X20" s="31" t="n">
        <v>67000</v>
      </c>
      <c r="Y20" s="40">
        <f>X20/W20</f>
        <v/>
      </c>
      <c r="Z20" s="41">
        <f>Y20*3.30578512</f>
        <v/>
      </c>
      <c r="AA20" s="11" t="n">
        <v>14619</v>
      </c>
      <c r="AB20" s="31" t="n">
        <v>383000</v>
      </c>
      <c r="AC20" s="40">
        <f>AB20/AA20</f>
        <v/>
      </c>
      <c r="AD20" s="41">
        <f>AC20*3.30578512</f>
        <v/>
      </c>
      <c r="AE20" s="11" t="n">
        <v>9175</v>
      </c>
      <c r="AF20" s="31" t="n">
        <v>266000</v>
      </c>
      <c r="AG20" s="40">
        <f>AF20/AE20</f>
        <v/>
      </c>
      <c r="AH20" s="41">
        <f>AG20*3.30578512</f>
        <v/>
      </c>
      <c r="AI20" s="11" t="n">
        <v>23849</v>
      </c>
      <c r="AJ20" s="31" t="n">
        <v>269649</v>
      </c>
      <c r="AK20" s="40">
        <f>AJ20/AI20</f>
        <v/>
      </c>
      <c r="AL20" s="41">
        <f>AK20*3.30578512</f>
        <v/>
      </c>
      <c r="AM20" s="11" t="n">
        <v>15</v>
      </c>
      <c r="AN20" s="31" t="n">
        <v>600</v>
      </c>
      <c r="AO20" s="40">
        <f>AN20/AM20</f>
        <v/>
      </c>
      <c r="AP20" s="41">
        <f>AO20*3.30578512</f>
        <v/>
      </c>
      <c r="AQ20" s="11" t="n">
        <v>37199</v>
      </c>
      <c r="AR20" s="31" t="n">
        <v>852022</v>
      </c>
      <c r="AS20" s="40">
        <f>AR20/AQ20</f>
        <v/>
      </c>
      <c r="AT20" s="41">
        <f>AS20*3.30578512</f>
        <v/>
      </c>
      <c r="AU20" s="11" t="n">
        <v>15052</v>
      </c>
      <c r="AV20" s="31" t="n">
        <v>600480</v>
      </c>
      <c r="AW20" s="40">
        <f>AV20/AU20</f>
        <v/>
      </c>
      <c r="AX20" s="41">
        <f>AW20*3.30578512</f>
        <v/>
      </c>
      <c r="AY20" s="11" t="n">
        <v>3100</v>
      </c>
      <c r="AZ20" s="31" t="n">
        <v>123000</v>
      </c>
      <c r="BA20" s="40">
        <f>AZ20/AY20</f>
        <v/>
      </c>
      <c r="BB20" s="41">
        <f>BA20*3.30578512</f>
        <v/>
      </c>
      <c r="BC20" s="11" t="n">
        <v>17347</v>
      </c>
      <c r="BD20" s="31" t="n">
        <v>351914</v>
      </c>
      <c r="BE20" s="40">
        <f>BD20/BC20</f>
        <v/>
      </c>
      <c r="BF20" s="41">
        <f>BE20*3.30578512</f>
        <v/>
      </c>
      <c r="BG20" s="11" t="n">
        <v>50847</v>
      </c>
      <c r="BH20" s="31" t="n">
        <v>4401500</v>
      </c>
      <c r="BI20" s="40">
        <f>BH20/BG20</f>
        <v/>
      </c>
      <c r="BJ20" s="41">
        <f>BI20*3.30578512</f>
        <v/>
      </c>
      <c r="BK20" s="11" t="n">
        <v>21492</v>
      </c>
      <c r="BL20" s="31" t="n">
        <v>135500</v>
      </c>
      <c r="BM20" s="40">
        <f>BL20/BK20</f>
        <v/>
      </c>
      <c r="BN20" s="41">
        <f>BM20*3.30578512</f>
        <v/>
      </c>
      <c r="BO20" s="11" t="n">
        <v>3456</v>
      </c>
      <c r="BP20" s="31" t="n">
        <v>76500</v>
      </c>
      <c r="BQ20" s="40">
        <f>BP20/BO20</f>
        <v/>
      </c>
      <c r="BR20" s="41">
        <f>BQ20*3.30578512</f>
        <v/>
      </c>
      <c r="BS20" s="11" t="n">
        <v>3554</v>
      </c>
      <c r="BT20" s="31" t="n">
        <v>142200</v>
      </c>
      <c r="BU20" s="40">
        <f>BT20/BS20</f>
        <v/>
      </c>
      <c r="BV20" s="41">
        <f>BU20*3.30578512</f>
        <v/>
      </c>
      <c r="BW20" s="11" t="n">
        <v>9031</v>
      </c>
      <c r="BX20" s="31" t="n">
        <v>267647</v>
      </c>
      <c r="BY20" s="40">
        <f>BX20/BW20</f>
        <v/>
      </c>
      <c r="BZ20" s="41">
        <f>BY20*3.30578512</f>
        <v/>
      </c>
      <c r="CA20" s="11" t="n">
        <v>3516</v>
      </c>
      <c r="CB20" s="31" t="n">
        <v>103000</v>
      </c>
      <c r="CC20" s="40">
        <f>CB20/CA20</f>
        <v/>
      </c>
      <c r="CD20" s="41">
        <f>CC20*3.30578512</f>
        <v/>
      </c>
      <c r="CE20" s="11" t="n">
        <v>6243</v>
      </c>
      <c r="CF20" s="31" t="n">
        <v>164000</v>
      </c>
      <c r="CG20" s="40">
        <f>CF20/CE20</f>
        <v/>
      </c>
      <c r="CH20" s="41">
        <f>CG20*3.30578512</f>
        <v/>
      </c>
      <c r="CI20" s="11" t="n">
        <v>2193</v>
      </c>
      <c r="CJ20" s="31" t="n">
        <v>63500</v>
      </c>
      <c r="CK20" s="40">
        <f>CJ20/CI20</f>
        <v/>
      </c>
      <c r="CL20" s="41">
        <f>CK20*3.30578512</f>
        <v/>
      </c>
      <c r="CM20" s="11" t="n">
        <v>1686</v>
      </c>
      <c r="CN20" s="31" t="n">
        <v>15000</v>
      </c>
      <c r="CO20" s="40">
        <f>CN20/CM20</f>
        <v/>
      </c>
      <c r="CP20" s="41">
        <f>CO20*3.30578512</f>
        <v/>
      </c>
      <c r="CQ20" s="11" t="n">
        <v>3229</v>
      </c>
      <c r="CR20" s="31" t="n">
        <v>106500</v>
      </c>
      <c r="CS20" s="40">
        <f>CR20/CQ20</f>
        <v/>
      </c>
      <c r="CT20" s="41">
        <f>CS20*3.30578512</f>
        <v/>
      </c>
      <c r="CU20" s="11" t="n">
        <v>5603</v>
      </c>
      <c r="CV20" s="31" t="n">
        <v>336700</v>
      </c>
      <c r="CW20" s="40">
        <f>CV20/CU20</f>
        <v/>
      </c>
      <c r="CX20" s="41">
        <f>CW20*3.30578512</f>
        <v/>
      </c>
      <c r="CY20" s="11" t="n">
        <v>1251</v>
      </c>
      <c r="CZ20" s="31" t="n">
        <v>80000</v>
      </c>
      <c r="DA20" s="40">
        <f>CZ20/CY20</f>
        <v/>
      </c>
      <c r="DB20" s="41">
        <f>DA20*3.30578512</f>
        <v/>
      </c>
      <c r="DC20" s="11" t="n">
        <v>2524</v>
      </c>
      <c r="DD20" s="31" t="n">
        <v>84900</v>
      </c>
      <c r="DE20" s="40">
        <f>DD20/DC20</f>
        <v/>
      </c>
      <c r="DF20" s="41">
        <f>DE20*3.30578512</f>
        <v/>
      </c>
      <c r="DG20" s="11" t="n">
        <v>0</v>
      </c>
      <c r="DH20" s="31" t="n">
        <v>0</v>
      </c>
      <c r="DI20" s="40">
        <f>DH20/DG20</f>
        <v/>
      </c>
      <c r="DJ20" s="41">
        <f>DI20*3.30578512</f>
        <v/>
      </c>
      <c r="DK20" s="11" t="n">
        <v>109631</v>
      </c>
      <c r="DL20" s="31" t="n">
        <v>5518000</v>
      </c>
      <c r="DM20" s="40">
        <f>DL20/DK20</f>
        <v/>
      </c>
      <c r="DN20" s="41">
        <f>DM20*3.30578512</f>
        <v/>
      </c>
      <c r="DO20" s="11" t="n">
        <v>9397</v>
      </c>
      <c r="DP20" s="31" t="n">
        <v>378000</v>
      </c>
      <c r="DQ20" s="40">
        <f>DP20/DO20</f>
        <v/>
      </c>
      <c r="DR20" s="41">
        <f>DQ20*3.30578512</f>
        <v/>
      </c>
      <c r="DS20" s="11" t="n">
        <v>299</v>
      </c>
      <c r="DT20" s="31" t="n">
        <v>12000</v>
      </c>
      <c r="DU20" s="40">
        <f>DT20/DS20</f>
        <v/>
      </c>
      <c r="DV20" s="41">
        <f>DU20*3.30578512</f>
        <v/>
      </c>
      <c r="DW20" s="11" t="n">
        <v>3365</v>
      </c>
      <c r="DX20" s="31" t="n">
        <v>178500</v>
      </c>
      <c r="DY20" s="40">
        <f>DX20/DW20</f>
        <v/>
      </c>
      <c r="DZ20" s="41">
        <f>DY20*3.30578512</f>
        <v/>
      </c>
      <c r="EA20" s="11" t="n">
        <v>25997</v>
      </c>
      <c r="EB20" s="31" t="n">
        <v>684500</v>
      </c>
      <c r="EC20" s="40">
        <f>EB20/EA20</f>
        <v/>
      </c>
      <c r="ED20" s="41">
        <f>EC20*3.30578512</f>
        <v/>
      </c>
      <c r="EE20" s="11" t="n">
        <v>24936</v>
      </c>
      <c r="EF20" s="31" t="n">
        <v>803601</v>
      </c>
      <c r="EG20" s="40">
        <f>EF20/EE20</f>
        <v/>
      </c>
      <c r="EH20" s="41">
        <f>EG20*3.30578512</f>
        <v/>
      </c>
      <c r="EI20" s="11" t="n">
        <v>6754</v>
      </c>
      <c r="EJ20" s="31" t="n">
        <v>476000</v>
      </c>
      <c r="EK20" s="40">
        <f>EJ20/EI20</f>
        <v/>
      </c>
      <c r="EL20" s="41">
        <f>EK20*3.30578512</f>
        <v/>
      </c>
      <c r="EM20" s="11" t="n">
        <v>1806</v>
      </c>
      <c r="EN20" s="31" t="n">
        <v>7270</v>
      </c>
      <c r="EO20" s="40">
        <f>EN20/EM20</f>
        <v/>
      </c>
      <c r="EP20" s="41">
        <f>EO20*3.30578512</f>
        <v/>
      </c>
      <c r="EQ20" s="11" t="n">
        <v>3344</v>
      </c>
      <c r="ER20" s="31" t="n">
        <v>151275</v>
      </c>
      <c r="ES20" s="40">
        <f>ER20/EQ20</f>
        <v/>
      </c>
      <c r="ET20" s="41">
        <f>ES20*3.30578512</f>
        <v/>
      </c>
      <c r="EU20" s="11" t="n">
        <v>31865</v>
      </c>
      <c r="EV20" s="31" t="n">
        <v>748199.43906</v>
      </c>
      <c r="EW20" s="40">
        <f>EV20/EU20</f>
        <v/>
      </c>
      <c r="EX20" s="41">
        <f>EW20*3.30578512</f>
        <v/>
      </c>
      <c r="EY20" s="11" t="n">
        <v>7857</v>
      </c>
      <c r="EZ20" s="31" t="n">
        <v>301931.62704</v>
      </c>
      <c r="FA20" s="40">
        <f>EZ20/EY20</f>
        <v/>
      </c>
      <c r="FB20" s="41">
        <f>FA20*3.30578512</f>
        <v/>
      </c>
      <c r="FC20" s="11" t="n">
        <v>85817</v>
      </c>
      <c r="FD20" s="31" t="n">
        <v>5595189.61136</v>
      </c>
      <c r="FE20" s="40">
        <f>FD20/FC20</f>
        <v/>
      </c>
      <c r="FF20" s="41">
        <f>FE20*3.30578512</f>
        <v/>
      </c>
      <c r="FG20" s="11" t="n">
        <v>87123</v>
      </c>
      <c r="FH20" s="31" t="n">
        <v>5990048.27321</v>
      </c>
      <c r="FI20" s="40">
        <f>FH20/FG20</f>
        <v/>
      </c>
      <c r="FJ20" s="41">
        <f>FI20*3.30578512</f>
        <v/>
      </c>
      <c r="FK20" s="11" t="n">
        <v>44228</v>
      </c>
      <c r="FL20" s="31" t="n">
        <v>1533767.87925</v>
      </c>
      <c r="FM20" s="40">
        <f>FL20/FK20</f>
        <v/>
      </c>
      <c r="FN20" s="41">
        <f>FM20*3.30578512</f>
        <v/>
      </c>
      <c r="FO20" s="11" t="n">
        <v>46931</v>
      </c>
      <c r="FP20" s="31" t="n">
        <v>1738413.45975</v>
      </c>
      <c r="FQ20" s="40">
        <f>FP20/FO20</f>
        <v/>
      </c>
      <c r="FR20" s="41">
        <f>FQ20*3.30578512</f>
        <v/>
      </c>
      <c r="FS20" s="11" t="n">
        <v>24433</v>
      </c>
      <c r="FT20" s="31" t="n">
        <v>1049753.25973</v>
      </c>
      <c r="FU20" s="40">
        <f>FT20/FS20</f>
        <v/>
      </c>
      <c r="FV20" s="41">
        <f>FU20*3.30578512</f>
        <v/>
      </c>
      <c r="FW20" s="11" t="n">
        <v>20293</v>
      </c>
      <c r="FX20" s="31" t="n">
        <v>796481.47251</v>
      </c>
      <c r="FY20" s="40">
        <f>FX20/FW20</f>
        <v/>
      </c>
      <c r="FZ20" s="41">
        <f>FY20*3.30578512</f>
        <v/>
      </c>
      <c r="GA20" s="11" t="n">
        <v>41087</v>
      </c>
      <c r="GB20" s="31" t="n">
        <v>2476355.72671</v>
      </c>
      <c r="GC20" s="40">
        <f>GB20/GA20</f>
        <v/>
      </c>
      <c r="GD20" s="41">
        <f>GC20*3.30578512</f>
        <v/>
      </c>
      <c r="GE20" s="11" t="n">
        <v>113478</v>
      </c>
      <c r="GF20" s="31" t="n">
        <v>3633237.94225</v>
      </c>
      <c r="GG20" s="40">
        <f>GF20/GE20</f>
        <v/>
      </c>
      <c r="GH20" s="41">
        <f>GG20*3.30578512</f>
        <v/>
      </c>
      <c r="GI20" s="11" t="n">
        <v>81814</v>
      </c>
      <c r="GJ20" s="31" t="n">
        <v>4079044</v>
      </c>
      <c r="GK20" s="40">
        <f>GJ20/GI20</f>
        <v/>
      </c>
      <c r="GL20" s="41">
        <f>GK20*3.30578512</f>
        <v/>
      </c>
    </row>
    <row r="21">
      <c r="B21" s="2" t="inlineStr">
        <is>
          <t>工場及び作業場</t>
        </is>
      </c>
      <c r="C21" s="11" t="n">
        <v>62005</v>
      </c>
      <c r="D21" s="31" t="n">
        <v>1252055</v>
      </c>
      <c r="E21" s="40">
        <f>D21/C21</f>
        <v/>
      </c>
      <c r="F21" s="41">
        <f>E21*3.30578512</f>
        <v/>
      </c>
      <c r="G21" s="11" t="n">
        <v>2209</v>
      </c>
      <c r="H21" s="31" t="n">
        <v>94000</v>
      </c>
      <c r="I21" s="40">
        <f>H21/G21</f>
        <v/>
      </c>
      <c r="J21" s="41">
        <f>I21*3.30578512</f>
        <v/>
      </c>
      <c r="K21" s="11" t="n">
        <v>19431</v>
      </c>
      <c r="L21" s="31" t="n">
        <v>596950</v>
      </c>
      <c r="M21" s="40">
        <f>L21/K21</f>
        <v/>
      </c>
      <c r="N21" s="41">
        <f>M21*3.30578512</f>
        <v/>
      </c>
      <c r="O21" s="11" t="n">
        <v>5584</v>
      </c>
      <c r="P21" s="31" t="n">
        <v>113500</v>
      </c>
      <c r="Q21" s="40">
        <f>P21/O21</f>
        <v/>
      </c>
      <c r="R21" s="41">
        <f>Q21*3.30578512</f>
        <v/>
      </c>
      <c r="S21" s="11" t="n">
        <v>5090</v>
      </c>
      <c r="T21" s="31" t="n">
        <v>89000</v>
      </c>
      <c r="U21" s="40">
        <f>T21/S21</f>
        <v/>
      </c>
      <c r="V21" s="41">
        <f>U21*3.30578512</f>
        <v/>
      </c>
      <c r="W21" s="11" t="n">
        <v>3053</v>
      </c>
      <c r="X21" s="31" t="n">
        <v>75000</v>
      </c>
      <c r="Y21" s="40">
        <f>X21/W21</f>
        <v/>
      </c>
      <c r="Z21" s="41">
        <f>Y21*3.30578512</f>
        <v/>
      </c>
      <c r="AA21" s="11" t="n">
        <v>9472</v>
      </c>
      <c r="AB21" s="31" t="n">
        <v>234166</v>
      </c>
      <c r="AC21" s="40">
        <f>AB21/AA21</f>
        <v/>
      </c>
      <c r="AD21" s="41">
        <f>AC21*3.30578512</f>
        <v/>
      </c>
      <c r="AE21" s="11" t="n">
        <v>2657</v>
      </c>
      <c r="AF21" s="31" t="n">
        <v>57086</v>
      </c>
      <c r="AG21" s="40">
        <f>AF21/AE21</f>
        <v/>
      </c>
      <c r="AH21" s="41">
        <f>AG21*3.30578512</f>
        <v/>
      </c>
      <c r="AI21" s="11" t="n">
        <v>3425</v>
      </c>
      <c r="AJ21" s="31" t="n">
        <v>83000</v>
      </c>
      <c r="AK21" s="40">
        <f>AJ21/AI21</f>
        <v/>
      </c>
      <c r="AL21" s="41">
        <f>AK21*3.30578512</f>
        <v/>
      </c>
      <c r="AM21" s="11" t="n">
        <v>10669</v>
      </c>
      <c r="AN21" s="31" t="n">
        <v>334890</v>
      </c>
      <c r="AO21" s="40">
        <f>AN21/AM21</f>
        <v/>
      </c>
      <c r="AP21" s="41">
        <f>AO21*3.30578512</f>
        <v/>
      </c>
      <c r="AQ21" s="11" t="n">
        <v>1121</v>
      </c>
      <c r="AR21" s="31" t="n">
        <v>41217</v>
      </c>
      <c r="AS21" s="40">
        <f>AR21/AQ21</f>
        <v/>
      </c>
      <c r="AT21" s="41">
        <f>AS21*3.30578512</f>
        <v/>
      </c>
      <c r="AU21" s="11" t="n">
        <v>14942</v>
      </c>
      <c r="AV21" s="31" t="n">
        <v>307912</v>
      </c>
      <c r="AW21" s="40">
        <f>AV21/AU21</f>
        <v/>
      </c>
      <c r="AX21" s="41">
        <f>AW21*3.30578512</f>
        <v/>
      </c>
      <c r="AY21" s="11" t="n">
        <v>11731</v>
      </c>
      <c r="AZ21" s="31" t="n">
        <v>180500</v>
      </c>
      <c r="BA21" s="40">
        <f>AZ21/AY21</f>
        <v/>
      </c>
      <c r="BB21" s="41">
        <f>BA21*3.30578512</f>
        <v/>
      </c>
      <c r="BC21" s="11" t="n">
        <v>6500</v>
      </c>
      <c r="BD21" s="31" t="n">
        <v>182692</v>
      </c>
      <c r="BE21" s="40">
        <f>BD21/BC21</f>
        <v/>
      </c>
      <c r="BF21" s="41">
        <f>BE21*3.30578512</f>
        <v/>
      </c>
      <c r="BG21" s="11" t="n">
        <v>4156</v>
      </c>
      <c r="BH21" s="31" t="n">
        <v>123740</v>
      </c>
      <c r="BI21" s="40">
        <f>BH21/BG21</f>
        <v/>
      </c>
      <c r="BJ21" s="41">
        <f>BI21*3.30578512</f>
        <v/>
      </c>
      <c r="BK21" s="11" t="n">
        <v>2408</v>
      </c>
      <c r="BL21" s="31" t="n">
        <v>95000</v>
      </c>
      <c r="BM21" s="40">
        <f>BL21/BK21</f>
        <v/>
      </c>
      <c r="BN21" s="41">
        <f>BM21*3.30578512</f>
        <v/>
      </c>
      <c r="BO21" s="11" t="n">
        <v>6365</v>
      </c>
      <c r="BP21" s="31" t="n">
        <v>154430</v>
      </c>
      <c r="BQ21" s="40">
        <f>BP21/BO21</f>
        <v/>
      </c>
      <c r="BR21" s="41">
        <f>BQ21*3.30578512</f>
        <v/>
      </c>
      <c r="BS21" s="11" t="n">
        <v>2986</v>
      </c>
      <c r="BT21" s="31" t="n">
        <v>74000</v>
      </c>
      <c r="BU21" s="40">
        <f>BT21/BS21</f>
        <v/>
      </c>
      <c r="BV21" s="41">
        <f>BU21*3.30578512</f>
        <v/>
      </c>
      <c r="BW21" s="11" t="n">
        <v>12638</v>
      </c>
      <c r="BX21" s="31" t="n">
        <v>353021</v>
      </c>
      <c r="BY21" s="40">
        <f>BX21/BW21</f>
        <v/>
      </c>
      <c r="BZ21" s="41">
        <f>BY21*3.30578512</f>
        <v/>
      </c>
      <c r="CA21" s="11" t="n">
        <v>960</v>
      </c>
      <c r="CB21" s="31" t="n">
        <v>21000</v>
      </c>
      <c r="CC21" s="40">
        <f>CB21/CA21</f>
        <v/>
      </c>
      <c r="CD21" s="41">
        <f>CC21*3.30578512</f>
        <v/>
      </c>
      <c r="CE21" s="11" t="n">
        <v>0</v>
      </c>
      <c r="CF21" s="31" t="n">
        <v>0</v>
      </c>
      <c r="CG21" s="40">
        <f>CF21/CE21</f>
        <v/>
      </c>
      <c r="CH21" s="41">
        <f>CG21*3.30578512</f>
        <v/>
      </c>
      <c r="CI21" s="11" t="n">
        <v>0</v>
      </c>
      <c r="CJ21" s="31" t="n">
        <v>0</v>
      </c>
      <c r="CK21" s="40">
        <f>CJ21/CI21</f>
        <v/>
      </c>
      <c r="CL21" s="41">
        <f>CK21*3.30578512</f>
        <v/>
      </c>
      <c r="CM21" s="11" t="n">
        <v>17656</v>
      </c>
      <c r="CN21" s="31" t="n">
        <v>473265</v>
      </c>
      <c r="CO21" s="40">
        <f>CN21/CM21</f>
        <v/>
      </c>
      <c r="CP21" s="41">
        <f>CO21*3.30578512</f>
        <v/>
      </c>
      <c r="CQ21" s="11" t="n">
        <v>2100</v>
      </c>
      <c r="CR21" s="31" t="n">
        <v>59690</v>
      </c>
      <c r="CS21" s="40">
        <f>CR21/CQ21</f>
        <v/>
      </c>
      <c r="CT21" s="41">
        <f>CS21*3.30578512</f>
        <v/>
      </c>
      <c r="CU21" s="11" t="n">
        <v>0</v>
      </c>
      <c r="CV21" s="31" t="n">
        <v>0</v>
      </c>
      <c r="CW21" s="40">
        <f>CV21/CU21</f>
        <v/>
      </c>
      <c r="CX21" s="41">
        <f>CW21*3.30578512</f>
        <v/>
      </c>
      <c r="CY21" s="11" t="n">
        <v>3464</v>
      </c>
      <c r="CZ21" s="31" t="n">
        <v>241550</v>
      </c>
      <c r="DA21" s="40">
        <f>CZ21/CY21</f>
        <v/>
      </c>
      <c r="DB21" s="41">
        <f>DA21*3.30578512</f>
        <v/>
      </c>
      <c r="DC21" s="11" t="n">
        <v>4299</v>
      </c>
      <c r="DD21" s="31" t="n">
        <v>135000</v>
      </c>
      <c r="DE21" s="40">
        <f>DD21/DC21</f>
        <v/>
      </c>
      <c r="DF21" s="41">
        <f>DE21*3.30578512</f>
        <v/>
      </c>
      <c r="DG21" s="11" t="n">
        <v>389</v>
      </c>
      <c r="DH21" s="31" t="n">
        <v>5000</v>
      </c>
      <c r="DI21" s="40">
        <f>DH21/DG21</f>
        <v/>
      </c>
      <c r="DJ21" s="41">
        <f>DI21*3.30578512</f>
        <v/>
      </c>
      <c r="DK21" s="11" t="n">
        <v>0</v>
      </c>
      <c r="DL21" s="31" t="n">
        <v>0</v>
      </c>
      <c r="DM21" s="40">
        <f>DL21/DK21</f>
        <v/>
      </c>
      <c r="DN21" s="41">
        <f>DM21*3.30578512</f>
        <v/>
      </c>
      <c r="DO21" s="11" t="n">
        <v>12724</v>
      </c>
      <c r="DP21" s="31" t="n">
        <v>578400</v>
      </c>
      <c r="DQ21" s="40">
        <f>DP21/DO21</f>
        <v/>
      </c>
      <c r="DR21" s="41">
        <f>DQ21*3.30578512</f>
        <v/>
      </c>
      <c r="DS21" s="11" t="n">
        <v>26759</v>
      </c>
      <c r="DT21" s="31" t="n">
        <v>621600</v>
      </c>
      <c r="DU21" s="40">
        <f>DT21/DS21</f>
        <v/>
      </c>
      <c r="DV21" s="41">
        <f>DU21*3.30578512</f>
        <v/>
      </c>
      <c r="DW21" s="11" t="n">
        <v>371</v>
      </c>
      <c r="DX21" s="31" t="n">
        <v>8800</v>
      </c>
      <c r="DY21" s="40">
        <f>DX21/DW21</f>
        <v/>
      </c>
      <c r="DZ21" s="41">
        <f>DY21*3.30578512</f>
        <v/>
      </c>
      <c r="EA21" s="11" t="n">
        <v>44510</v>
      </c>
      <c r="EB21" s="31" t="n">
        <v>1725000</v>
      </c>
      <c r="EC21" s="40">
        <f>EB21/EA21</f>
        <v/>
      </c>
      <c r="ED21" s="41">
        <f>EC21*3.30578512</f>
        <v/>
      </c>
      <c r="EE21" s="11" t="n">
        <v>2277</v>
      </c>
      <c r="EF21" s="31" t="n">
        <v>56630</v>
      </c>
      <c r="EG21" s="40">
        <f>EF21/EE21</f>
        <v/>
      </c>
      <c r="EH21" s="41">
        <f>EG21*3.30578512</f>
        <v/>
      </c>
      <c r="EI21" s="11" t="n">
        <v>30888</v>
      </c>
      <c r="EJ21" s="31" t="n">
        <v>1613500</v>
      </c>
      <c r="EK21" s="40">
        <f>EJ21/EI21</f>
        <v/>
      </c>
      <c r="EL21" s="41">
        <f>EK21*3.30578512</f>
        <v/>
      </c>
      <c r="EM21" s="11" t="n">
        <v>79</v>
      </c>
      <c r="EN21" s="31" t="n">
        <v>1200</v>
      </c>
      <c r="EO21" s="40">
        <f>EN21/EM21</f>
        <v/>
      </c>
      <c r="EP21" s="41">
        <f>EO21*3.30578512</f>
        <v/>
      </c>
      <c r="EQ21" s="11" t="n">
        <v>21957</v>
      </c>
      <c r="ER21" s="31" t="n">
        <v>578500</v>
      </c>
      <c r="ES21" s="40">
        <f>ER21/EQ21</f>
        <v/>
      </c>
      <c r="ET21" s="41">
        <f>ES21*3.30578512</f>
        <v/>
      </c>
      <c r="EU21" s="11" t="n">
        <v>19617</v>
      </c>
      <c r="EV21" s="31" t="n">
        <v>412524.61606</v>
      </c>
      <c r="EW21" s="40">
        <f>EV21/EU21</f>
        <v/>
      </c>
      <c r="EX21" s="41">
        <f>EW21*3.30578512</f>
        <v/>
      </c>
      <c r="EY21" s="11" t="n">
        <v>2841</v>
      </c>
      <c r="EZ21" s="31" t="n">
        <v>56342.69614</v>
      </c>
      <c r="FA21" s="40">
        <f>EZ21/EY21</f>
        <v/>
      </c>
      <c r="FB21" s="41">
        <f>FA21*3.30578512</f>
        <v/>
      </c>
      <c r="FC21" s="11" t="n">
        <v>22090</v>
      </c>
      <c r="FD21" s="31" t="n">
        <v>1314826.58788</v>
      </c>
      <c r="FE21" s="40">
        <f>FD21/FC21</f>
        <v/>
      </c>
      <c r="FF21" s="41">
        <f>FE21*3.30578512</f>
        <v/>
      </c>
      <c r="FG21" s="11" t="n">
        <v>26741</v>
      </c>
      <c r="FH21" s="31" t="n">
        <v>675396.94311</v>
      </c>
      <c r="FI21" s="40">
        <f>FH21/FG21</f>
        <v/>
      </c>
      <c r="FJ21" s="41">
        <f>FI21*3.30578512</f>
        <v/>
      </c>
      <c r="FK21" s="11" t="n">
        <v>141201</v>
      </c>
      <c r="FL21" s="31" t="n">
        <v>7526709.26544</v>
      </c>
      <c r="FM21" s="40">
        <f>FL21/FK21</f>
        <v/>
      </c>
      <c r="FN21" s="41">
        <f>FM21*3.30578512</f>
        <v/>
      </c>
      <c r="FO21" s="11" t="n">
        <v>72046</v>
      </c>
      <c r="FP21" s="31" t="n">
        <v>4691279.72042</v>
      </c>
      <c r="FQ21" s="40">
        <f>FP21/FO21</f>
        <v/>
      </c>
      <c r="FR21" s="41">
        <f>FQ21*3.30578512</f>
        <v/>
      </c>
      <c r="FS21" s="11" t="n">
        <v>52398</v>
      </c>
      <c r="FT21" s="31" t="n">
        <v>1902624.91516</v>
      </c>
      <c r="FU21" s="40">
        <f>FT21/FS21</f>
        <v/>
      </c>
      <c r="FV21" s="41">
        <f>FU21*3.30578512</f>
        <v/>
      </c>
      <c r="FW21" s="11" t="n">
        <v>50780</v>
      </c>
      <c r="FX21" s="31" t="n">
        <v>2542173.09602</v>
      </c>
      <c r="FY21" s="40">
        <f>FX21/FW21</f>
        <v/>
      </c>
      <c r="FZ21" s="41">
        <f>FY21*3.30578512</f>
        <v/>
      </c>
      <c r="GA21" s="11" t="n">
        <v>35549</v>
      </c>
      <c r="GB21" s="31" t="n">
        <v>1579652.9805</v>
      </c>
      <c r="GC21" s="40">
        <f>GB21/GA21</f>
        <v/>
      </c>
      <c r="GD21" s="41">
        <f>GC21*3.30578512</f>
        <v/>
      </c>
      <c r="GE21" s="11" t="n">
        <v>14615</v>
      </c>
      <c r="GF21" s="31" t="n">
        <v>650728.76853</v>
      </c>
      <c r="GG21" s="40">
        <f>GF21/GE21</f>
        <v/>
      </c>
      <c r="GH21" s="41">
        <f>GG21*3.30578512</f>
        <v/>
      </c>
      <c r="GI21" s="11" t="n">
        <v>11527</v>
      </c>
      <c r="GJ21" s="31" t="n">
        <v>365412</v>
      </c>
      <c r="GK21" s="40">
        <f>GJ21/GI21</f>
        <v/>
      </c>
      <c r="GL21" s="41">
        <f>GK21*3.30578512</f>
        <v/>
      </c>
    </row>
    <row r="22">
      <c r="B22" s="2" t="inlineStr">
        <is>
          <t>倉庫</t>
        </is>
      </c>
      <c r="C22" s="11" t="n">
        <v>153240</v>
      </c>
      <c r="D22" s="31" t="n">
        <v>1689704</v>
      </c>
      <c r="E22" s="40">
        <f>D22/C22</f>
        <v/>
      </c>
      <c r="F22" s="41">
        <f>E22*3.30578512</f>
        <v/>
      </c>
      <c r="G22" s="11" t="n">
        <v>537</v>
      </c>
      <c r="H22" s="31" t="n">
        <v>11100</v>
      </c>
      <c r="I22" s="40">
        <f>H22/G22</f>
        <v/>
      </c>
      <c r="J22" s="41">
        <f>I22*3.30578512</f>
        <v/>
      </c>
      <c r="K22" s="11" t="n">
        <v>15403</v>
      </c>
      <c r="L22" s="31" t="n">
        <v>180000</v>
      </c>
      <c r="M22" s="40">
        <f>L22/K22</f>
        <v/>
      </c>
      <c r="N22" s="41">
        <f>M22*3.30578512</f>
        <v/>
      </c>
      <c r="O22" s="11" t="n">
        <v>1587</v>
      </c>
      <c r="P22" s="31" t="n">
        <v>13250</v>
      </c>
      <c r="Q22" s="40">
        <f>P22/O22</f>
        <v/>
      </c>
      <c r="R22" s="41">
        <f>Q22*3.30578512</f>
        <v/>
      </c>
      <c r="S22" s="11" t="n">
        <v>13666</v>
      </c>
      <c r="T22" s="31" t="n">
        <v>225900</v>
      </c>
      <c r="U22" s="40">
        <f>T22/S22</f>
        <v/>
      </c>
      <c r="V22" s="41">
        <f>U22*3.30578512</f>
        <v/>
      </c>
      <c r="W22" s="11" t="n">
        <v>56375</v>
      </c>
      <c r="X22" s="31" t="n">
        <v>629069</v>
      </c>
      <c r="Y22" s="40">
        <f>X22/W22</f>
        <v/>
      </c>
      <c r="Z22" s="41">
        <f>Y22*3.30578512</f>
        <v/>
      </c>
      <c r="AA22" s="11" t="n">
        <v>6809</v>
      </c>
      <c r="AB22" s="31" t="n">
        <v>120730</v>
      </c>
      <c r="AC22" s="40">
        <f>AB22/AA22</f>
        <v/>
      </c>
      <c r="AD22" s="41">
        <f>AC22*3.30578512</f>
        <v/>
      </c>
      <c r="AE22" s="11" t="n">
        <v>1429</v>
      </c>
      <c r="AF22" s="31" t="n">
        <v>22150</v>
      </c>
      <c r="AG22" s="40">
        <f>AF22/AE22</f>
        <v/>
      </c>
      <c r="AH22" s="41">
        <f>AG22*3.30578512</f>
        <v/>
      </c>
      <c r="AI22" s="11" t="n">
        <v>2131</v>
      </c>
      <c r="AJ22" s="31" t="n">
        <v>29830</v>
      </c>
      <c r="AK22" s="40">
        <f>AJ22/AI22</f>
        <v/>
      </c>
      <c r="AL22" s="41">
        <f>AK22*3.30578512</f>
        <v/>
      </c>
      <c r="AM22" s="11" t="n">
        <v>89088</v>
      </c>
      <c r="AN22" s="31" t="n">
        <v>1097389</v>
      </c>
      <c r="AO22" s="40">
        <f>AN22/AM22</f>
        <v/>
      </c>
      <c r="AP22" s="41">
        <f>AO22*3.30578512</f>
        <v/>
      </c>
      <c r="AQ22" s="11" t="n">
        <v>808</v>
      </c>
      <c r="AR22" s="31" t="n">
        <v>12000</v>
      </c>
      <c r="AS22" s="40">
        <f>AR22/AQ22</f>
        <v/>
      </c>
      <c r="AT22" s="41">
        <f>AS22*3.30578512</f>
        <v/>
      </c>
      <c r="AU22" s="11" t="n">
        <v>3650</v>
      </c>
      <c r="AV22" s="31" t="n">
        <v>75000</v>
      </c>
      <c r="AW22" s="40">
        <f>AV22/AU22</f>
        <v/>
      </c>
      <c r="AX22" s="41">
        <f>AW22*3.30578512</f>
        <v/>
      </c>
      <c r="AY22" s="11" t="n">
        <v>993</v>
      </c>
      <c r="AZ22" s="31" t="n">
        <v>16700</v>
      </c>
      <c r="BA22" s="40">
        <f>AZ22/AY22</f>
        <v/>
      </c>
      <c r="BB22" s="41">
        <f>BA22*3.30578512</f>
        <v/>
      </c>
      <c r="BC22" s="11" t="n">
        <v>69088</v>
      </c>
      <c r="BD22" s="31" t="n">
        <v>1114520</v>
      </c>
      <c r="BE22" s="40">
        <f>BD22/BC22</f>
        <v/>
      </c>
      <c r="BF22" s="41">
        <f>BE22*3.30578512</f>
        <v/>
      </c>
      <c r="BG22" s="11" t="n">
        <v>214</v>
      </c>
      <c r="BH22" s="31" t="n">
        <v>4500</v>
      </c>
      <c r="BI22" s="40">
        <f>BH22/BG22</f>
        <v/>
      </c>
      <c r="BJ22" s="41">
        <f>BI22*3.30578512</f>
        <v/>
      </c>
      <c r="BK22" s="11" t="n">
        <v>18689</v>
      </c>
      <c r="BL22" s="31" t="n">
        <v>250000</v>
      </c>
      <c r="BM22" s="40">
        <f>BL22/BK22</f>
        <v/>
      </c>
      <c r="BN22" s="41">
        <f>BM22*3.30578512</f>
        <v/>
      </c>
      <c r="BO22" s="11" t="n">
        <v>15037</v>
      </c>
      <c r="BP22" s="31" t="n">
        <v>186920</v>
      </c>
      <c r="BQ22" s="40">
        <f>BP22/BO22</f>
        <v/>
      </c>
      <c r="BR22" s="41">
        <f>BQ22*3.30578512</f>
        <v/>
      </c>
      <c r="BS22" s="11" t="n">
        <v>203</v>
      </c>
      <c r="BT22" s="31" t="n">
        <v>6000</v>
      </c>
      <c r="BU22" s="40">
        <f>BT22/BS22</f>
        <v/>
      </c>
      <c r="BV22" s="41">
        <f>BU22*3.30578512</f>
        <v/>
      </c>
      <c r="BW22" s="11" t="n">
        <v>2393</v>
      </c>
      <c r="BX22" s="31" t="n">
        <v>69081</v>
      </c>
      <c r="BY22" s="40">
        <f>BX22/BW22</f>
        <v/>
      </c>
      <c r="BZ22" s="41">
        <f>BY22*3.30578512</f>
        <v/>
      </c>
      <c r="CA22" s="11" t="n">
        <v>20604</v>
      </c>
      <c r="CB22" s="31" t="n">
        <v>287300</v>
      </c>
      <c r="CC22" s="40">
        <f>CB22/CA22</f>
        <v/>
      </c>
      <c r="CD22" s="41">
        <f>CC22*3.30578512</f>
        <v/>
      </c>
      <c r="CE22" s="11" t="n">
        <v>0</v>
      </c>
      <c r="CF22" s="31" t="n">
        <v>0</v>
      </c>
      <c r="CG22" s="40">
        <f>CF22/CE22</f>
        <v/>
      </c>
      <c r="CH22" s="41">
        <f>CG22*3.30578512</f>
        <v/>
      </c>
      <c r="CI22" s="11" t="n">
        <v>1286</v>
      </c>
      <c r="CJ22" s="31" t="n">
        <v>21850</v>
      </c>
      <c r="CK22" s="40">
        <f>CJ22/CI22</f>
        <v/>
      </c>
      <c r="CL22" s="41">
        <f>CK22*3.30578512</f>
        <v/>
      </c>
      <c r="CM22" s="11" t="n">
        <v>4443</v>
      </c>
      <c r="CN22" s="31" t="n">
        <v>78200</v>
      </c>
      <c r="CO22" s="40">
        <f>CN22/CM22</f>
        <v/>
      </c>
      <c r="CP22" s="41">
        <f>CO22*3.30578512</f>
        <v/>
      </c>
      <c r="CQ22" s="11" t="n">
        <v>22711</v>
      </c>
      <c r="CR22" s="31" t="n">
        <v>427380</v>
      </c>
      <c r="CS22" s="40">
        <f>CR22/CQ22</f>
        <v/>
      </c>
      <c r="CT22" s="41">
        <f>CS22*3.30578512</f>
        <v/>
      </c>
      <c r="CU22" s="11" t="n">
        <v>2653</v>
      </c>
      <c r="CV22" s="31" t="n">
        <v>100500</v>
      </c>
      <c r="CW22" s="40">
        <f>CV22/CU22</f>
        <v/>
      </c>
      <c r="CX22" s="41">
        <f>CW22*3.30578512</f>
        <v/>
      </c>
      <c r="CY22" s="11" t="n">
        <v>0</v>
      </c>
      <c r="CZ22" s="31" t="n">
        <v>0</v>
      </c>
      <c r="DA22" s="40">
        <f>CZ22/CY22</f>
        <v/>
      </c>
      <c r="DB22" s="41">
        <f>DA22*3.30578512</f>
        <v/>
      </c>
      <c r="DC22" s="11" t="n">
        <v>12946</v>
      </c>
      <c r="DD22" s="31" t="n">
        <v>302550</v>
      </c>
      <c r="DE22" s="40">
        <f>DD22/DC22</f>
        <v/>
      </c>
      <c r="DF22" s="41">
        <f>DE22*3.30578512</f>
        <v/>
      </c>
      <c r="DG22" s="11" t="n">
        <v>9698</v>
      </c>
      <c r="DH22" s="31" t="n">
        <v>267800</v>
      </c>
      <c r="DI22" s="40">
        <f>DH22/DG22</f>
        <v/>
      </c>
      <c r="DJ22" s="41">
        <f>DI22*3.30578512</f>
        <v/>
      </c>
      <c r="DK22" s="11" t="n">
        <v>0</v>
      </c>
      <c r="DL22" s="31" t="n">
        <v>0</v>
      </c>
      <c r="DM22" s="40">
        <f>DL22/DK22</f>
        <v/>
      </c>
      <c r="DN22" s="41">
        <f>DM22*3.30578512</f>
        <v/>
      </c>
      <c r="DO22" s="11" t="n">
        <v>0</v>
      </c>
      <c r="DP22" s="31" t="n">
        <v>0</v>
      </c>
      <c r="DQ22" s="40">
        <f>DP22/DO22</f>
        <v/>
      </c>
      <c r="DR22" s="41">
        <f>DQ22*3.30578512</f>
        <v/>
      </c>
      <c r="DS22" s="11" t="n">
        <v>1724</v>
      </c>
      <c r="DT22" s="31" t="n">
        <v>29300</v>
      </c>
      <c r="DU22" s="40">
        <f>DT22/DS22</f>
        <v/>
      </c>
      <c r="DV22" s="41">
        <f>DU22*3.30578512</f>
        <v/>
      </c>
      <c r="DW22" s="11" t="n">
        <v>111736</v>
      </c>
      <c r="DX22" s="31" t="n">
        <v>2179930</v>
      </c>
      <c r="DY22" s="40">
        <f>DX22/DW22</f>
        <v/>
      </c>
      <c r="DZ22" s="41">
        <f>DY22*3.30578512</f>
        <v/>
      </c>
      <c r="EA22" s="11" t="n">
        <v>15871</v>
      </c>
      <c r="EB22" s="31" t="n">
        <v>418575</v>
      </c>
      <c r="EC22" s="40">
        <f>EB22/EA22</f>
        <v/>
      </c>
      <c r="ED22" s="41">
        <f>EC22*3.30578512</f>
        <v/>
      </c>
      <c r="EE22" s="11" t="n">
        <v>0</v>
      </c>
      <c r="EF22" s="31" t="n">
        <v>0</v>
      </c>
      <c r="EG22" s="40">
        <f>EF22/EE22</f>
        <v/>
      </c>
      <c r="EH22" s="41">
        <f>EG22*3.30578512</f>
        <v/>
      </c>
      <c r="EI22" s="11" t="n">
        <v>25</v>
      </c>
      <c r="EJ22" s="31" t="n">
        <v>100</v>
      </c>
      <c r="EK22" s="40">
        <f>EJ22/EI22</f>
        <v/>
      </c>
      <c r="EL22" s="41">
        <f>EK22*3.30578512</f>
        <v/>
      </c>
      <c r="EM22" s="11" t="n">
        <v>255890</v>
      </c>
      <c r="EN22" s="31" t="n">
        <v>4832990</v>
      </c>
      <c r="EO22" s="40">
        <f>EN22/EM22</f>
        <v/>
      </c>
      <c r="EP22" s="41">
        <f>EO22*3.30578512</f>
        <v/>
      </c>
      <c r="EQ22" s="11" t="n">
        <v>50404</v>
      </c>
      <c r="ER22" s="31" t="n">
        <v>946610</v>
      </c>
      <c r="ES22" s="40">
        <f>ER22/EQ22</f>
        <v/>
      </c>
      <c r="ET22" s="41">
        <f>ES22*3.30578512</f>
        <v/>
      </c>
      <c r="EU22" s="11" t="n">
        <v>25315</v>
      </c>
      <c r="EV22" s="31" t="n">
        <v>834801.0782099999</v>
      </c>
      <c r="EW22" s="40">
        <f>EV22/EU22</f>
        <v/>
      </c>
      <c r="EX22" s="41">
        <f>EW22*3.30578512</f>
        <v/>
      </c>
      <c r="EY22" s="11" t="n">
        <v>47793</v>
      </c>
      <c r="EZ22" s="31" t="n">
        <v>1028281.63805</v>
      </c>
      <c r="FA22" s="40">
        <f>EZ22/EY22</f>
        <v/>
      </c>
      <c r="FB22" s="41">
        <f>FA22*3.30578512</f>
        <v/>
      </c>
      <c r="FC22" s="11" t="n">
        <v>16411</v>
      </c>
      <c r="FD22" s="31" t="n">
        <v>267589.42607</v>
      </c>
      <c r="FE22" s="40">
        <f>FD22/FC22</f>
        <v/>
      </c>
      <c r="FF22" s="41">
        <f>FE22*3.30578512</f>
        <v/>
      </c>
      <c r="FG22" s="11" t="n">
        <v>87387</v>
      </c>
      <c r="FH22" s="31" t="n">
        <v>2104780.50473</v>
      </c>
      <c r="FI22" s="40">
        <f>FH22/FG22</f>
        <v/>
      </c>
      <c r="FJ22" s="41">
        <f>FI22*3.30578512</f>
        <v/>
      </c>
      <c r="FK22" s="11" t="n">
        <v>94733</v>
      </c>
      <c r="FL22" s="31" t="n">
        <v>2701573.82712</v>
      </c>
      <c r="FM22" s="40">
        <f>FL22/FK22</f>
        <v/>
      </c>
      <c r="FN22" s="41">
        <f>FM22*3.30578512</f>
        <v/>
      </c>
      <c r="FO22" s="11" t="n">
        <v>116589</v>
      </c>
      <c r="FP22" s="31" t="n">
        <v>3146602.74577</v>
      </c>
      <c r="FQ22" s="40">
        <f>FP22/FO22</f>
        <v/>
      </c>
      <c r="FR22" s="41">
        <f>FQ22*3.30578512</f>
        <v/>
      </c>
      <c r="FS22" s="11" t="n">
        <v>96077</v>
      </c>
      <c r="FT22" s="31" t="n">
        <v>2270387.14559</v>
      </c>
      <c r="FU22" s="40">
        <f>FT22/FS22</f>
        <v/>
      </c>
      <c r="FV22" s="41">
        <f>FU22*3.30578512</f>
        <v/>
      </c>
      <c r="FW22" s="11" t="n">
        <v>69494</v>
      </c>
      <c r="FX22" s="31" t="n">
        <v>1998559.50181</v>
      </c>
      <c r="FY22" s="40">
        <f>FX22/FW22</f>
        <v/>
      </c>
      <c r="FZ22" s="41">
        <f>FY22*3.30578512</f>
        <v/>
      </c>
      <c r="GA22" s="11" t="n">
        <v>262209</v>
      </c>
      <c r="GB22" s="31" t="n">
        <v>5718614.25773</v>
      </c>
      <c r="GC22" s="40">
        <f>GB22/GA22</f>
        <v/>
      </c>
      <c r="GD22" s="41">
        <f>GC22*3.30578512</f>
        <v/>
      </c>
      <c r="GE22" s="11" t="n">
        <v>30935</v>
      </c>
      <c r="GF22" s="31" t="n">
        <v>743218.09382</v>
      </c>
      <c r="GG22" s="40">
        <f>GF22/GE22</f>
        <v/>
      </c>
      <c r="GH22" s="41">
        <f>GG22*3.30578512</f>
        <v/>
      </c>
      <c r="GI22" s="11" t="n">
        <v>28816</v>
      </c>
      <c r="GJ22" s="31" t="n">
        <v>1068346</v>
      </c>
      <c r="GK22" s="40">
        <f>GJ22/GI22</f>
        <v/>
      </c>
      <c r="GL22" s="41">
        <f>GK22*3.30578512</f>
        <v/>
      </c>
    </row>
    <row r="23">
      <c r="B23" s="2" t="inlineStr">
        <is>
          <t>学校の校舎</t>
        </is>
      </c>
      <c r="C23" s="11" t="n">
        <v>14738</v>
      </c>
      <c r="D23" s="31" t="n">
        <v>528100</v>
      </c>
      <c r="E23" s="40">
        <f>D23/C23</f>
        <v/>
      </c>
      <c r="F23" s="41">
        <f>E23*3.30578512</f>
        <v/>
      </c>
      <c r="G23" s="11" t="n">
        <v>0</v>
      </c>
      <c r="H23" s="31" t="n">
        <v>0</v>
      </c>
      <c r="I23" s="40">
        <f>H23/G23</f>
        <v/>
      </c>
      <c r="J23" s="41">
        <f>I23*3.30578512</f>
        <v/>
      </c>
      <c r="K23" s="11" t="n">
        <v>0</v>
      </c>
      <c r="L23" s="31" t="n">
        <v>0</v>
      </c>
      <c r="M23" s="40">
        <f>L23/K23</f>
        <v/>
      </c>
      <c r="N23" s="41">
        <f>M23*3.30578512</f>
        <v/>
      </c>
      <c r="O23" s="11" t="n">
        <v>0</v>
      </c>
      <c r="P23" s="31" t="n">
        <v>0</v>
      </c>
      <c r="Q23" s="40">
        <f>P23/O23</f>
        <v/>
      </c>
      <c r="R23" s="41">
        <f>Q23*3.30578512</f>
        <v/>
      </c>
      <c r="S23" s="11" t="n">
        <v>0</v>
      </c>
      <c r="T23" s="31" t="n">
        <v>0</v>
      </c>
      <c r="U23" s="40">
        <f>T23/S23</f>
        <v/>
      </c>
      <c r="V23" s="41">
        <f>U23*3.30578512</f>
        <v/>
      </c>
      <c r="W23" s="11" t="n">
        <v>30</v>
      </c>
      <c r="X23" s="31" t="n">
        <v>300</v>
      </c>
      <c r="Y23" s="40">
        <f>X23/W23</f>
        <v/>
      </c>
      <c r="Z23" s="41">
        <f>Y23*3.30578512</f>
        <v/>
      </c>
      <c r="AA23" s="11" t="n">
        <v>0</v>
      </c>
      <c r="AB23" s="31" t="n">
        <v>0</v>
      </c>
      <c r="AC23" s="40">
        <f>AB23/AA23</f>
        <v/>
      </c>
      <c r="AD23" s="41">
        <f>AC23*3.30578512</f>
        <v/>
      </c>
      <c r="AE23" s="11" t="n">
        <v>19491</v>
      </c>
      <c r="AF23" s="31" t="n">
        <v>636370</v>
      </c>
      <c r="AG23" s="40">
        <f>AF23/AE23</f>
        <v/>
      </c>
      <c r="AH23" s="41">
        <f>AG23*3.30578512</f>
        <v/>
      </c>
      <c r="AI23" s="11" t="n">
        <v>0</v>
      </c>
      <c r="AJ23" s="31" t="n">
        <v>0</v>
      </c>
      <c r="AK23" s="40">
        <f>AJ23/AI23</f>
        <v/>
      </c>
      <c r="AL23" s="41">
        <f>AK23*3.30578512</f>
        <v/>
      </c>
      <c r="AM23" s="11" t="n">
        <v>1473</v>
      </c>
      <c r="AN23" s="31" t="n">
        <v>2000</v>
      </c>
      <c r="AO23" s="40">
        <f>AN23/AM23</f>
        <v/>
      </c>
      <c r="AP23" s="41">
        <f>AO23*3.30578512</f>
        <v/>
      </c>
      <c r="AQ23" s="11" t="n">
        <v>0</v>
      </c>
      <c r="AR23" s="31" t="n">
        <v>0</v>
      </c>
      <c r="AS23" s="40">
        <f>AR23/AQ23</f>
        <v/>
      </c>
      <c r="AT23" s="41">
        <f>AS23*3.30578512</f>
        <v/>
      </c>
      <c r="AU23" s="11" t="n">
        <v>45486</v>
      </c>
      <c r="AV23" s="31" t="n">
        <v>2000000</v>
      </c>
      <c r="AW23" s="40">
        <f>AV23/AU23</f>
        <v/>
      </c>
      <c r="AX23" s="41">
        <f>AW23*3.30578512</f>
        <v/>
      </c>
      <c r="AY23" s="11" t="n">
        <v>0</v>
      </c>
      <c r="AZ23" s="31" t="n">
        <v>0</v>
      </c>
      <c r="BA23" s="40">
        <f>AZ23/AY23</f>
        <v/>
      </c>
      <c r="BB23" s="41">
        <f>BA23*3.30578512</f>
        <v/>
      </c>
      <c r="BC23" s="11" t="n">
        <v>0</v>
      </c>
      <c r="BD23" s="31" t="n">
        <v>0</v>
      </c>
      <c r="BE23" s="40">
        <f>BD23/BC23</f>
        <v/>
      </c>
      <c r="BF23" s="41">
        <f>BE23*3.30578512</f>
        <v/>
      </c>
      <c r="BG23" s="11" t="n">
        <v>0</v>
      </c>
      <c r="BH23" s="31" t="n">
        <v>0</v>
      </c>
      <c r="BI23" s="40">
        <f>BH23/BG23</f>
        <v/>
      </c>
      <c r="BJ23" s="41">
        <f>BI23*3.30578512</f>
        <v/>
      </c>
      <c r="BK23" s="11" t="n">
        <v>0</v>
      </c>
      <c r="BL23" s="31" t="n">
        <v>0</v>
      </c>
      <c r="BM23" s="40">
        <f>BL23/BK23</f>
        <v/>
      </c>
      <c r="BN23" s="41">
        <f>BM23*3.30578512</f>
        <v/>
      </c>
      <c r="BO23" s="11" t="n">
        <v>0</v>
      </c>
      <c r="BP23" s="31" t="n">
        <v>0</v>
      </c>
      <c r="BQ23" s="40">
        <f>BP23/BO23</f>
        <v/>
      </c>
      <c r="BR23" s="41">
        <f>BQ23*3.30578512</f>
        <v/>
      </c>
      <c r="BS23" s="11" t="n">
        <v>0</v>
      </c>
      <c r="BT23" s="31" t="n">
        <v>0</v>
      </c>
      <c r="BU23" s="40">
        <f>BT23/BS23</f>
        <v/>
      </c>
      <c r="BV23" s="41">
        <f>BU23*3.30578512</f>
        <v/>
      </c>
      <c r="BW23" s="11" t="n">
        <v>0</v>
      </c>
      <c r="BX23" s="31" t="n">
        <v>0</v>
      </c>
      <c r="BY23" s="40">
        <f>BX23/BW23</f>
        <v/>
      </c>
      <c r="BZ23" s="41">
        <f>BY23*3.30578512</f>
        <v/>
      </c>
      <c r="CA23" s="11" t="n">
        <v>0</v>
      </c>
      <c r="CB23" s="31" t="n">
        <v>0</v>
      </c>
      <c r="CC23" s="40">
        <f>CB23/CA23</f>
        <v/>
      </c>
      <c r="CD23" s="41">
        <f>CC23*3.30578512</f>
        <v/>
      </c>
      <c r="CE23" s="11" t="n">
        <v>0</v>
      </c>
      <c r="CF23" s="31" t="n">
        <v>0</v>
      </c>
      <c r="CG23" s="40">
        <f>CF23/CE23</f>
        <v/>
      </c>
      <c r="CH23" s="41">
        <f>CG23*3.30578512</f>
        <v/>
      </c>
      <c r="CI23" s="11" t="n">
        <v>0</v>
      </c>
      <c r="CJ23" s="31" t="n">
        <v>0</v>
      </c>
      <c r="CK23" s="40">
        <f>CJ23/CI23</f>
        <v/>
      </c>
      <c r="CL23" s="41">
        <f>CK23*3.30578512</f>
        <v/>
      </c>
      <c r="CM23" s="11" t="n">
        <v>0</v>
      </c>
      <c r="CN23" s="31" t="n">
        <v>0</v>
      </c>
      <c r="CO23" s="40">
        <f>CN23/CM23</f>
        <v/>
      </c>
      <c r="CP23" s="41">
        <f>CO23*3.30578512</f>
        <v/>
      </c>
      <c r="CQ23" s="11" t="n">
        <v>0</v>
      </c>
      <c r="CR23" s="31" t="n">
        <v>0</v>
      </c>
      <c r="CS23" s="40">
        <f>CR23/CQ23</f>
        <v/>
      </c>
      <c r="CT23" s="41">
        <f>CS23*3.30578512</f>
        <v/>
      </c>
      <c r="CU23" s="11" t="n">
        <v>0</v>
      </c>
      <c r="CV23" s="31" t="n">
        <v>0</v>
      </c>
      <c r="CW23" s="40">
        <f>CV23/CU23</f>
        <v/>
      </c>
      <c r="CX23" s="41">
        <f>CW23*3.30578512</f>
        <v/>
      </c>
      <c r="CY23" s="11" t="n">
        <v>16982</v>
      </c>
      <c r="CZ23" s="31" t="n">
        <v>1250000</v>
      </c>
      <c r="DA23" s="40">
        <f>CZ23/CY23</f>
        <v/>
      </c>
      <c r="DB23" s="41">
        <f>DA23*3.30578512</f>
        <v/>
      </c>
      <c r="DC23" s="11" t="n">
        <v>888</v>
      </c>
      <c r="DD23" s="31" t="n">
        <v>47860</v>
      </c>
      <c r="DE23" s="40">
        <f>DD23/DC23</f>
        <v/>
      </c>
      <c r="DF23" s="41">
        <f>DE23*3.30578512</f>
        <v/>
      </c>
      <c r="DG23" s="11" t="n">
        <v>0</v>
      </c>
      <c r="DH23" s="31" t="n">
        <v>0</v>
      </c>
      <c r="DI23" s="40">
        <f>DH23/DG23</f>
        <v/>
      </c>
      <c r="DJ23" s="41">
        <f>DI23*3.30578512</f>
        <v/>
      </c>
      <c r="DK23" s="11" t="n">
        <v>0</v>
      </c>
      <c r="DL23" s="31" t="n">
        <v>0</v>
      </c>
      <c r="DM23" s="40">
        <f>DL23/DK23</f>
        <v/>
      </c>
      <c r="DN23" s="41">
        <f>DM23*3.30578512</f>
        <v/>
      </c>
      <c r="DO23" s="11" t="n">
        <v>0</v>
      </c>
      <c r="DP23" s="31" t="n">
        <v>0</v>
      </c>
      <c r="DQ23" s="40">
        <f>DP23/DO23</f>
        <v/>
      </c>
      <c r="DR23" s="41">
        <f>DQ23*3.30578512</f>
        <v/>
      </c>
      <c r="DS23" s="11" t="n">
        <v>854</v>
      </c>
      <c r="DT23" s="31" t="n">
        <v>100000</v>
      </c>
      <c r="DU23" s="40">
        <f>DT23/DS23</f>
        <v/>
      </c>
      <c r="DV23" s="41">
        <f>DU23*3.30578512</f>
        <v/>
      </c>
      <c r="DW23" s="11" t="n">
        <v>0</v>
      </c>
      <c r="DX23" s="31" t="n">
        <v>0</v>
      </c>
      <c r="DY23" s="40">
        <f>DX23/DW23</f>
        <v/>
      </c>
      <c r="DZ23" s="41">
        <f>DY23*3.30578512</f>
        <v/>
      </c>
      <c r="EA23" s="11" t="n">
        <v>0</v>
      </c>
      <c r="EB23" s="31" t="n">
        <v>0</v>
      </c>
      <c r="EC23" s="40">
        <f>EB23/EA23</f>
        <v/>
      </c>
      <c r="ED23" s="41">
        <f>EC23*3.30578512</f>
        <v/>
      </c>
      <c r="EE23" s="11" t="n">
        <v>0</v>
      </c>
      <c r="EF23" s="31" t="n">
        <v>0</v>
      </c>
      <c r="EG23" s="40">
        <f>EF23/EE23</f>
        <v/>
      </c>
      <c r="EH23" s="41">
        <f>EG23*3.30578512</f>
        <v/>
      </c>
      <c r="EI23" s="11" t="n">
        <v>0</v>
      </c>
      <c r="EJ23" s="31" t="n">
        <v>0</v>
      </c>
      <c r="EK23" s="40">
        <f>EJ23/EI23</f>
        <v/>
      </c>
      <c r="EL23" s="41">
        <f>EK23*3.30578512</f>
        <v/>
      </c>
      <c r="EM23" s="11" t="n">
        <v>0</v>
      </c>
      <c r="EN23" s="31" t="n">
        <v>0</v>
      </c>
      <c r="EO23" s="40">
        <f>EN23/EM23</f>
        <v/>
      </c>
      <c r="EP23" s="41">
        <f>EO23*3.30578512</f>
        <v/>
      </c>
      <c r="EQ23" s="11" t="n">
        <v>0</v>
      </c>
      <c r="ER23" s="31" t="n">
        <v>0</v>
      </c>
      <c r="ES23" s="40">
        <f>ER23/EQ23</f>
        <v/>
      </c>
      <c r="ET23" s="41">
        <f>ES23*3.30578512</f>
        <v/>
      </c>
      <c r="EU23" s="11" t="n">
        <v>1354</v>
      </c>
      <c r="EV23" s="31" t="n">
        <v>111816.81682</v>
      </c>
      <c r="EW23" s="40">
        <f>EV23/EU23</f>
        <v/>
      </c>
      <c r="EX23" s="41">
        <f>EW23*3.30578512</f>
        <v/>
      </c>
      <c r="EY23" s="11" t="n">
        <v>1254</v>
      </c>
      <c r="EZ23" s="31" t="n">
        <v>76724.41553</v>
      </c>
      <c r="FA23" s="40">
        <f>EZ23/EY23</f>
        <v/>
      </c>
      <c r="FB23" s="41">
        <f>FA23*3.30578512</f>
        <v/>
      </c>
      <c r="FC23" s="11" t="n">
        <v>6398</v>
      </c>
      <c r="FD23" s="31" t="n">
        <v>149693.78766</v>
      </c>
      <c r="FE23" s="40">
        <f>FD23/FC23</f>
        <v/>
      </c>
      <c r="FF23" s="41">
        <f>FE23*3.30578512</f>
        <v/>
      </c>
      <c r="FG23" s="11" t="n">
        <v>21156</v>
      </c>
      <c r="FH23" s="31" t="n">
        <v>723762.28367</v>
      </c>
      <c r="FI23" s="40">
        <f>FH23/FG23</f>
        <v/>
      </c>
      <c r="FJ23" s="41">
        <f>FI23*3.30578512</f>
        <v/>
      </c>
      <c r="FK23" s="11" t="n">
        <v>582</v>
      </c>
      <c r="FL23" s="31" t="n">
        <v>101422.4924</v>
      </c>
      <c r="FM23" s="40">
        <f>FL23/FK23</f>
        <v/>
      </c>
      <c r="FN23" s="41">
        <f>FM23*3.30578512</f>
        <v/>
      </c>
      <c r="FO23" s="11" t="n">
        <v>0</v>
      </c>
      <c r="FP23" s="31" t="n">
        <v>0</v>
      </c>
      <c r="FQ23" s="40">
        <f>FP23/FO23</f>
        <v/>
      </c>
      <c r="FR23" s="41">
        <f>FQ23*3.30578512</f>
        <v/>
      </c>
      <c r="FS23" s="11" t="n">
        <v>511</v>
      </c>
      <c r="FT23" s="31" t="n">
        <v>20222.22222</v>
      </c>
      <c r="FU23" s="40">
        <f>FT23/FS23</f>
        <v/>
      </c>
      <c r="FV23" s="41">
        <f>FU23*3.30578512</f>
        <v/>
      </c>
      <c r="FW23" s="11" t="n">
        <v>740</v>
      </c>
      <c r="FX23" s="31" t="n">
        <v>39900.51077</v>
      </c>
      <c r="FY23" s="40">
        <f>FX23/FW23</f>
        <v/>
      </c>
      <c r="FZ23" s="41">
        <f>FY23*3.30578512</f>
        <v/>
      </c>
      <c r="GA23" s="11" t="n">
        <v>0</v>
      </c>
      <c r="GB23" s="31" t="n">
        <v>0</v>
      </c>
      <c r="GC23" s="40">
        <f>GB23/GA23</f>
        <v/>
      </c>
      <c r="GD23" s="41">
        <f>GC23*3.30578512</f>
        <v/>
      </c>
      <c r="GE23" s="11" t="n">
        <v>886</v>
      </c>
      <c r="GF23" s="31" t="n">
        <v>35089.10891</v>
      </c>
      <c r="GG23" s="40">
        <f>GF23/GE23</f>
        <v/>
      </c>
      <c r="GH23" s="41">
        <f>GG23*3.30578512</f>
        <v/>
      </c>
      <c r="GI23" s="11" t="n">
        <v>0</v>
      </c>
      <c r="GJ23" s="31" t="n">
        <v>0</v>
      </c>
      <c r="GK23" s="40">
        <f>GJ23/GI23</f>
        <v/>
      </c>
      <c r="GL23" s="41">
        <f>GK23*3.30578512</f>
        <v/>
      </c>
    </row>
    <row r="24">
      <c r="B24" s="2" t="inlineStr">
        <is>
          <t>病院・診療所</t>
        </is>
      </c>
      <c r="C24" s="11" t="n">
        <v>10862</v>
      </c>
      <c r="D24" s="31" t="n">
        <v>418652</v>
      </c>
      <c r="E24" s="40">
        <f>D24/C24</f>
        <v/>
      </c>
      <c r="F24" s="41">
        <f>E24*3.30578512</f>
        <v/>
      </c>
      <c r="G24" s="11" t="n">
        <v>0</v>
      </c>
      <c r="H24" s="31" t="n">
        <v>0</v>
      </c>
      <c r="I24" s="40">
        <f>H24/G24</f>
        <v/>
      </c>
      <c r="J24" s="41">
        <f>I24*3.30578512</f>
        <v/>
      </c>
      <c r="K24" s="11" t="n">
        <v>570</v>
      </c>
      <c r="L24" s="31" t="n">
        <v>11000</v>
      </c>
      <c r="M24" s="40">
        <f>L24/K24</f>
        <v/>
      </c>
      <c r="N24" s="41">
        <f>M24*3.30578512</f>
        <v/>
      </c>
      <c r="O24" s="11" t="n">
        <v>0</v>
      </c>
      <c r="P24" s="31" t="n">
        <v>0</v>
      </c>
      <c r="Q24" s="40">
        <f>P24/O24</f>
        <v/>
      </c>
      <c r="R24" s="41">
        <f>Q24*3.30578512</f>
        <v/>
      </c>
      <c r="S24" s="11" t="n">
        <v>1939</v>
      </c>
      <c r="T24" s="31" t="n">
        <v>62334</v>
      </c>
      <c r="U24" s="40">
        <f>T24/S24</f>
        <v/>
      </c>
      <c r="V24" s="41">
        <f>U24*3.30578512</f>
        <v/>
      </c>
      <c r="W24" s="11" t="n">
        <v>0</v>
      </c>
      <c r="X24" s="31" t="n">
        <v>0</v>
      </c>
      <c r="Y24" s="40">
        <f>X24/W24</f>
        <v/>
      </c>
      <c r="Z24" s="41">
        <f>Y24*3.30578512</f>
        <v/>
      </c>
      <c r="AA24" s="11" t="n">
        <v>0</v>
      </c>
      <c r="AB24" s="31" t="n">
        <v>0</v>
      </c>
      <c r="AC24" s="40">
        <f>AB24/AA24</f>
        <v/>
      </c>
      <c r="AD24" s="41">
        <f>AC24*3.30578512</f>
        <v/>
      </c>
      <c r="AE24" s="11" t="n">
        <v>0</v>
      </c>
      <c r="AF24" s="31" t="n">
        <v>0</v>
      </c>
      <c r="AG24" s="40">
        <f>AF24/AE24</f>
        <v/>
      </c>
      <c r="AH24" s="41">
        <f>AG24*3.30578512</f>
        <v/>
      </c>
      <c r="AI24" s="11" t="n">
        <v>0</v>
      </c>
      <c r="AJ24" s="31" t="n">
        <v>0</v>
      </c>
      <c r="AK24" s="40">
        <f>AJ24/AI24</f>
        <v/>
      </c>
      <c r="AL24" s="41">
        <f>AK24*3.30578512</f>
        <v/>
      </c>
      <c r="AM24" s="11" t="n">
        <v>0</v>
      </c>
      <c r="AN24" s="31" t="n">
        <v>0</v>
      </c>
      <c r="AO24" s="40">
        <f>AN24/AM24</f>
        <v/>
      </c>
      <c r="AP24" s="41">
        <f>AO24*3.30578512</f>
        <v/>
      </c>
      <c r="AQ24" s="11" t="n">
        <v>884</v>
      </c>
      <c r="AR24" s="31" t="n">
        <v>60000</v>
      </c>
      <c r="AS24" s="40">
        <f>AR24/AQ24</f>
        <v/>
      </c>
      <c r="AT24" s="41">
        <f>AS24*3.30578512</f>
        <v/>
      </c>
      <c r="AU24" s="11" t="n">
        <v>6369</v>
      </c>
      <c r="AV24" s="31" t="n">
        <v>250000</v>
      </c>
      <c r="AW24" s="40">
        <f>AV24/AU24</f>
        <v/>
      </c>
      <c r="AX24" s="41">
        <f>AW24*3.30578512</f>
        <v/>
      </c>
      <c r="AY24" s="11" t="n">
        <v>1333</v>
      </c>
      <c r="AZ24" s="31" t="n">
        <v>77000</v>
      </c>
      <c r="BA24" s="40">
        <f>AZ24/AY24</f>
        <v/>
      </c>
      <c r="BB24" s="41">
        <f>BA24*3.30578512</f>
        <v/>
      </c>
      <c r="BC24" s="11" t="n">
        <v>0</v>
      </c>
      <c r="BD24" s="31" t="n">
        <v>0</v>
      </c>
      <c r="BE24" s="40">
        <f>BD24/BC24</f>
        <v/>
      </c>
      <c r="BF24" s="41">
        <f>BE24*3.30578512</f>
        <v/>
      </c>
      <c r="BG24" s="11" t="n">
        <v>0</v>
      </c>
      <c r="BH24" s="31" t="n">
        <v>0</v>
      </c>
      <c r="BI24" s="40">
        <f>BH24/BG24</f>
        <v/>
      </c>
      <c r="BJ24" s="41">
        <f>BI24*3.30578512</f>
        <v/>
      </c>
      <c r="BK24" s="11" t="n">
        <v>2687</v>
      </c>
      <c r="BL24" s="31" t="n">
        <v>75000</v>
      </c>
      <c r="BM24" s="40">
        <f>BL24/BK24</f>
        <v/>
      </c>
      <c r="BN24" s="41">
        <f>BM24*3.30578512</f>
        <v/>
      </c>
      <c r="BO24" s="11" t="n">
        <v>2893</v>
      </c>
      <c r="BP24" s="31" t="n">
        <v>119500</v>
      </c>
      <c r="BQ24" s="40">
        <f>BP24/BO24</f>
        <v/>
      </c>
      <c r="BR24" s="41">
        <f>BQ24*3.30578512</f>
        <v/>
      </c>
      <c r="BS24" s="11" t="n">
        <v>281</v>
      </c>
      <c r="BT24" s="31" t="n">
        <v>9200</v>
      </c>
      <c r="BU24" s="40">
        <f>BT24/BS24</f>
        <v/>
      </c>
      <c r="BV24" s="41">
        <f>BU24*3.30578512</f>
        <v/>
      </c>
      <c r="BW24" s="11" t="n">
        <v>1407</v>
      </c>
      <c r="BX24" s="31" t="n">
        <v>50000</v>
      </c>
      <c r="BY24" s="40">
        <f>BX24/BW24</f>
        <v/>
      </c>
      <c r="BZ24" s="41">
        <f>BY24*3.30578512</f>
        <v/>
      </c>
      <c r="CA24" s="11" t="n">
        <v>211</v>
      </c>
      <c r="CB24" s="31" t="n">
        <v>3500</v>
      </c>
      <c r="CC24" s="40">
        <f>CB24/CA24</f>
        <v/>
      </c>
      <c r="CD24" s="41">
        <f>CC24*3.30578512</f>
        <v/>
      </c>
      <c r="CE24" s="11" t="n">
        <v>0</v>
      </c>
      <c r="CF24" s="31" t="n">
        <v>0</v>
      </c>
      <c r="CG24" s="40">
        <f>CF24/CE24</f>
        <v/>
      </c>
      <c r="CH24" s="41">
        <f>CG24*3.30578512</f>
        <v/>
      </c>
      <c r="CI24" s="11" t="n">
        <v>0</v>
      </c>
      <c r="CJ24" s="31" t="n">
        <v>0</v>
      </c>
      <c r="CK24" s="40">
        <f>CJ24/CI24</f>
        <v/>
      </c>
      <c r="CL24" s="41">
        <f>CK24*3.30578512</f>
        <v/>
      </c>
      <c r="CM24" s="11" t="n">
        <v>0</v>
      </c>
      <c r="CN24" s="31" t="n">
        <v>0</v>
      </c>
      <c r="CO24" s="40">
        <f>CN24/CM24</f>
        <v/>
      </c>
      <c r="CP24" s="41">
        <f>CO24*3.30578512</f>
        <v/>
      </c>
      <c r="CQ24" s="11" t="n">
        <v>0</v>
      </c>
      <c r="CR24" s="31" t="n">
        <v>0</v>
      </c>
      <c r="CS24" s="40">
        <f>CR24/CQ24</f>
        <v/>
      </c>
      <c r="CT24" s="41">
        <f>CS24*3.30578512</f>
        <v/>
      </c>
      <c r="CU24" s="11" t="n">
        <v>0</v>
      </c>
      <c r="CV24" s="31" t="n">
        <v>0</v>
      </c>
      <c r="CW24" s="40">
        <f>CV24/CU24</f>
        <v/>
      </c>
      <c r="CX24" s="41">
        <f>CW24*3.30578512</f>
        <v/>
      </c>
      <c r="CY24" s="11" t="n">
        <v>0</v>
      </c>
      <c r="CZ24" s="31" t="n">
        <v>0</v>
      </c>
      <c r="DA24" s="40">
        <f>CZ24/CY24</f>
        <v/>
      </c>
      <c r="DB24" s="41">
        <f>DA24*3.30578512</f>
        <v/>
      </c>
      <c r="DC24" s="11" t="n">
        <v>645</v>
      </c>
      <c r="DD24" s="31" t="n">
        <v>18000</v>
      </c>
      <c r="DE24" s="40">
        <f>DD24/DC24</f>
        <v/>
      </c>
      <c r="DF24" s="41">
        <f>DE24*3.30578512</f>
        <v/>
      </c>
      <c r="DG24" s="11" t="n">
        <v>0</v>
      </c>
      <c r="DH24" s="31" t="n">
        <v>0</v>
      </c>
      <c r="DI24" s="40">
        <f>DH24/DG24</f>
        <v/>
      </c>
      <c r="DJ24" s="41">
        <f>DI24*3.30578512</f>
        <v/>
      </c>
      <c r="DK24" s="11" t="n">
        <v>0</v>
      </c>
      <c r="DL24" s="31" t="n">
        <v>0</v>
      </c>
      <c r="DM24" s="40">
        <f>DL24/DK24</f>
        <v/>
      </c>
      <c r="DN24" s="41">
        <f>DM24*3.30578512</f>
        <v/>
      </c>
      <c r="DO24" s="11" t="n">
        <v>0</v>
      </c>
      <c r="DP24" s="31" t="n">
        <v>0</v>
      </c>
      <c r="DQ24" s="40">
        <f>DP24/DO24</f>
        <v/>
      </c>
      <c r="DR24" s="41">
        <f>DQ24*3.30578512</f>
        <v/>
      </c>
      <c r="DS24" s="11" t="n">
        <v>2493</v>
      </c>
      <c r="DT24" s="31" t="n">
        <v>94957</v>
      </c>
      <c r="DU24" s="40">
        <f>DT24/DS24</f>
        <v/>
      </c>
      <c r="DV24" s="41">
        <f>DU24*3.30578512</f>
        <v/>
      </c>
      <c r="DW24" s="11" t="n">
        <v>997</v>
      </c>
      <c r="DX24" s="31" t="n">
        <v>24000</v>
      </c>
      <c r="DY24" s="40">
        <f>DX24/DW24</f>
        <v/>
      </c>
      <c r="DZ24" s="41">
        <f>DY24*3.30578512</f>
        <v/>
      </c>
      <c r="EA24" s="11" t="n">
        <v>2372</v>
      </c>
      <c r="EB24" s="31" t="n">
        <v>106000</v>
      </c>
      <c r="EC24" s="40">
        <f>EB24/EA24</f>
        <v/>
      </c>
      <c r="ED24" s="41">
        <f>EC24*3.30578512</f>
        <v/>
      </c>
      <c r="EE24" s="11" t="n">
        <v>4067</v>
      </c>
      <c r="EF24" s="31" t="n">
        <v>160000</v>
      </c>
      <c r="EG24" s="40">
        <f>EF24/EE24</f>
        <v/>
      </c>
      <c r="EH24" s="41">
        <f>EG24*3.30578512</f>
        <v/>
      </c>
      <c r="EI24" s="11" t="n">
        <v>0</v>
      </c>
      <c r="EJ24" s="31" t="n">
        <v>0</v>
      </c>
      <c r="EK24" s="40">
        <f>EJ24/EI24</f>
        <v/>
      </c>
      <c r="EL24" s="41">
        <f>EK24*3.30578512</f>
        <v/>
      </c>
      <c r="EM24" s="11" t="n">
        <v>0</v>
      </c>
      <c r="EN24" s="31" t="n">
        <v>0</v>
      </c>
      <c r="EO24" s="40">
        <f>EN24/EM24</f>
        <v/>
      </c>
      <c r="EP24" s="41">
        <f>EO24*3.30578512</f>
        <v/>
      </c>
      <c r="EQ24" s="11" t="n">
        <v>110</v>
      </c>
      <c r="ER24" s="31" t="n">
        <v>5000</v>
      </c>
      <c r="ES24" s="40">
        <f>ER24/EQ24</f>
        <v/>
      </c>
      <c r="ET24" s="41">
        <f>ES24*3.30578512</f>
        <v/>
      </c>
      <c r="EU24" s="11" t="n">
        <v>764</v>
      </c>
      <c r="EV24" s="31" t="n">
        <v>27506.52726</v>
      </c>
      <c r="EW24" s="40">
        <f>EV24/EU24</f>
        <v/>
      </c>
      <c r="EX24" s="41">
        <f>EW24*3.30578512</f>
        <v/>
      </c>
      <c r="EY24" s="11" t="n">
        <v>18372</v>
      </c>
      <c r="EZ24" s="31" t="n">
        <v>1040804.5317</v>
      </c>
      <c r="FA24" s="40">
        <f>EZ24/EY24</f>
        <v/>
      </c>
      <c r="FB24" s="41">
        <f>FA24*3.30578512</f>
        <v/>
      </c>
      <c r="FC24" s="11" t="n">
        <v>5564</v>
      </c>
      <c r="FD24" s="31" t="n">
        <v>234829.84823</v>
      </c>
      <c r="FE24" s="40">
        <f>FD24/FC24</f>
        <v/>
      </c>
      <c r="FF24" s="41">
        <f>FE24*3.30578512</f>
        <v/>
      </c>
      <c r="FG24" s="11" t="n">
        <v>5147</v>
      </c>
      <c r="FH24" s="31" t="n">
        <v>240459.30811</v>
      </c>
      <c r="FI24" s="40">
        <f>FH24/FG24</f>
        <v/>
      </c>
      <c r="FJ24" s="41">
        <f>FI24*3.30578512</f>
        <v/>
      </c>
      <c r="FK24" s="11" t="n">
        <v>4373</v>
      </c>
      <c r="FL24" s="31" t="n">
        <v>164206.49811</v>
      </c>
      <c r="FM24" s="40">
        <f>FL24/FK24</f>
        <v/>
      </c>
      <c r="FN24" s="41">
        <f>FM24*3.30578512</f>
        <v/>
      </c>
      <c r="FO24" s="11" t="n">
        <v>2404</v>
      </c>
      <c r="FP24" s="31" t="n">
        <v>146302.38671</v>
      </c>
      <c r="FQ24" s="40">
        <f>FP24/FO24</f>
        <v/>
      </c>
      <c r="FR24" s="41">
        <f>FQ24*3.30578512</f>
        <v/>
      </c>
      <c r="FS24" s="11" t="n">
        <v>2384</v>
      </c>
      <c r="FT24" s="31" t="n">
        <v>78753.64837</v>
      </c>
      <c r="FU24" s="40">
        <f>FT24/FS24</f>
        <v/>
      </c>
      <c r="FV24" s="41">
        <f>FU24*3.30578512</f>
        <v/>
      </c>
      <c r="FW24" s="11" t="n">
        <v>1108</v>
      </c>
      <c r="FX24" s="31" t="n">
        <v>45521.62633</v>
      </c>
      <c r="FY24" s="40">
        <f>FX24/FW24</f>
        <v/>
      </c>
      <c r="FZ24" s="41">
        <f>FY24*3.30578512</f>
        <v/>
      </c>
      <c r="GA24" s="11" t="n">
        <v>2032</v>
      </c>
      <c r="GB24" s="31" t="n">
        <v>79696.48359</v>
      </c>
      <c r="GC24" s="40">
        <f>GB24/GA24</f>
        <v/>
      </c>
      <c r="GD24" s="41">
        <f>GC24*3.30578512</f>
        <v/>
      </c>
      <c r="GE24" s="11" t="n">
        <v>2262</v>
      </c>
      <c r="GF24" s="31" t="n">
        <v>101251.17323</v>
      </c>
      <c r="GG24" s="40">
        <f>GF24/GE24</f>
        <v/>
      </c>
      <c r="GH24" s="41">
        <f>GG24*3.30578512</f>
        <v/>
      </c>
      <c r="GI24" s="11" t="n">
        <v>1931</v>
      </c>
      <c r="GJ24" s="31" t="n">
        <v>62026</v>
      </c>
      <c r="GK24" s="40">
        <f>GJ24/GI24</f>
        <v/>
      </c>
      <c r="GL24" s="41">
        <f>GK24*3.30578512</f>
        <v/>
      </c>
    </row>
    <row r="25" ht="18.6" customHeight="1" thickBot="1">
      <c r="B25" s="2" t="inlineStr">
        <is>
          <t>その他</t>
        </is>
      </c>
      <c r="C25" s="15" t="n">
        <v>135960</v>
      </c>
      <c r="D25" s="16" t="n">
        <v>3178924</v>
      </c>
      <c r="E25" s="42">
        <f>D25/C25</f>
        <v/>
      </c>
      <c r="F25" s="43">
        <f>E25*3.30578512</f>
        <v/>
      </c>
      <c r="G25" s="15" t="n">
        <v>74402</v>
      </c>
      <c r="H25" s="16" t="n">
        <v>2527876</v>
      </c>
      <c r="I25" s="42">
        <f>H25/G25</f>
        <v/>
      </c>
      <c r="J25" s="43">
        <f>I25*3.30578512</f>
        <v/>
      </c>
      <c r="K25" s="15" t="n">
        <v>29901</v>
      </c>
      <c r="L25" s="16" t="n">
        <v>381930</v>
      </c>
      <c r="M25" s="42">
        <f>L25/K25</f>
        <v/>
      </c>
      <c r="N25" s="43">
        <f>M25*3.30578512</f>
        <v/>
      </c>
      <c r="O25" s="15" t="n">
        <v>16458</v>
      </c>
      <c r="P25" s="16" t="n">
        <v>463500</v>
      </c>
      <c r="Q25" s="42">
        <f>P25/O25</f>
        <v/>
      </c>
      <c r="R25" s="43">
        <f>Q25*3.30578512</f>
        <v/>
      </c>
      <c r="S25" s="15" t="n">
        <v>3637</v>
      </c>
      <c r="T25" s="16" t="n">
        <v>28850</v>
      </c>
      <c r="U25" s="42">
        <f>T25/S25</f>
        <v/>
      </c>
      <c r="V25" s="43">
        <f>U25*3.30578512</f>
        <v/>
      </c>
      <c r="W25" s="15" t="n">
        <v>21600</v>
      </c>
      <c r="X25" s="16" t="n">
        <v>787690</v>
      </c>
      <c r="Y25" s="42">
        <f>X25/W25</f>
        <v/>
      </c>
      <c r="Z25" s="43">
        <f>Y25*3.30578512</f>
        <v/>
      </c>
      <c r="AA25" s="15" t="n">
        <v>27059</v>
      </c>
      <c r="AB25" s="16" t="n">
        <v>635736</v>
      </c>
      <c r="AC25" s="42">
        <f>AB25/AA25</f>
        <v/>
      </c>
      <c r="AD25" s="43">
        <f>AC25*3.30578512</f>
        <v/>
      </c>
      <c r="AE25" s="15" t="n">
        <v>198678</v>
      </c>
      <c r="AF25" s="16" t="n">
        <v>8486500</v>
      </c>
      <c r="AG25" s="42">
        <f>AF25/AE25</f>
        <v/>
      </c>
      <c r="AH25" s="43">
        <f>AG25*3.30578512</f>
        <v/>
      </c>
      <c r="AI25" s="15" t="n">
        <v>29234</v>
      </c>
      <c r="AJ25" s="16" t="n">
        <v>1400854</v>
      </c>
      <c r="AK25" s="42">
        <f>AJ25/AI25</f>
        <v/>
      </c>
      <c r="AL25" s="43">
        <f>AK25*3.30578512</f>
        <v/>
      </c>
      <c r="AM25" s="15" t="n">
        <v>15861</v>
      </c>
      <c r="AN25" s="16" t="n">
        <v>794396</v>
      </c>
      <c r="AO25" s="42">
        <f>AN25/AM25</f>
        <v/>
      </c>
      <c r="AP25" s="43">
        <f>AO25*3.30578512</f>
        <v/>
      </c>
      <c r="AQ25" s="15" t="n">
        <v>10824</v>
      </c>
      <c r="AR25" s="16" t="n">
        <v>324500</v>
      </c>
      <c r="AS25" s="42">
        <f>AR25/AQ25</f>
        <v/>
      </c>
      <c r="AT25" s="43">
        <f>AS25*3.30578512</f>
        <v/>
      </c>
      <c r="AU25" s="15" t="n">
        <v>28749</v>
      </c>
      <c r="AV25" s="16" t="n">
        <v>1146850</v>
      </c>
      <c r="AW25" s="42">
        <f>AV25/AU25</f>
        <v/>
      </c>
      <c r="AX25" s="43">
        <f>AW25*3.30578512</f>
        <v/>
      </c>
      <c r="AY25" s="15" t="n">
        <v>21809</v>
      </c>
      <c r="AZ25" s="16" t="n">
        <v>784500</v>
      </c>
      <c r="BA25" s="42">
        <f>AZ25/AY25</f>
        <v/>
      </c>
      <c r="BB25" s="43">
        <f>BA25*3.30578512</f>
        <v/>
      </c>
      <c r="BC25" s="15" t="n">
        <v>3467</v>
      </c>
      <c r="BD25" s="16" t="n">
        <v>190000</v>
      </c>
      <c r="BE25" s="42">
        <f>BD25/BC25</f>
        <v/>
      </c>
      <c r="BF25" s="43">
        <f>BE25*3.30578512</f>
        <v/>
      </c>
      <c r="BG25" s="15" t="n">
        <v>20851</v>
      </c>
      <c r="BH25" s="16" t="n">
        <v>362000</v>
      </c>
      <c r="BI25" s="42">
        <f>BH25/BG25</f>
        <v/>
      </c>
      <c r="BJ25" s="43">
        <f>BI25*3.30578512</f>
        <v/>
      </c>
      <c r="BK25" s="15" t="n">
        <v>9167</v>
      </c>
      <c r="BL25" s="16" t="n">
        <v>242131</v>
      </c>
      <c r="BM25" s="42">
        <f>BL25/BK25</f>
        <v/>
      </c>
      <c r="BN25" s="43">
        <f>BM25*3.30578512</f>
        <v/>
      </c>
      <c r="BO25" s="15" t="n">
        <v>18028</v>
      </c>
      <c r="BP25" s="16" t="n">
        <v>613890</v>
      </c>
      <c r="BQ25" s="42">
        <f>BP25/BO25</f>
        <v/>
      </c>
      <c r="BR25" s="43">
        <f>BQ25*3.30578512</f>
        <v/>
      </c>
      <c r="BS25" s="15" t="n">
        <v>11905</v>
      </c>
      <c r="BT25" s="16" t="n">
        <v>234000</v>
      </c>
      <c r="BU25" s="42">
        <f>BT25/BS25</f>
        <v/>
      </c>
      <c r="BV25" s="43">
        <f>BU25*3.30578512</f>
        <v/>
      </c>
      <c r="BW25" s="15" t="n">
        <v>3396</v>
      </c>
      <c r="BX25" s="16" t="n">
        <v>64100</v>
      </c>
      <c r="BY25" s="42">
        <f>BX25/BW25</f>
        <v/>
      </c>
      <c r="BZ25" s="43">
        <f>BY25*3.30578512</f>
        <v/>
      </c>
      <c r="CA25" s="15" t="n">
        <v>14435</v>
      </c>
      <c r="CB25" s="16" t="n">
        <v>440600</v>
      </c>
      <c r="CC25" s="42">
        <f>CB25/CA25</f>
        <v/>
      </c>
      <c r="CD25" s="43">
        <f>CC25*3.30578512</f>
        <v/>
      </c>
      <c r="CE25" s="15" t="n">
        <v>33051</v>
      </c>
      <c r="CF25" s="16" t="n">
        <v>1460171</v>
      </c>
      <c r="CG25" s="42">
        <f>CF25/CE25</f>
        <v/>
      </c>
      <c r="CH25" s="43">
        <f>CG25*3.30578512</f>
        <v/>
      </c>
      <c r="CI25" s="15" t="n">
        <v>15987</v>
      </c>
      <c r="CJ25" s="16" t="n">
        <v>433798</v>
      </c>
      <c r="CK25" s="42">
        <f>CJ25/CI25</f>
        <v/>
      </c>
      <c r="CL25" s="43">
        <f>CK25*3.30578512</f>
        <v/>
      </c>
      <c r="CM25" s="15" t="n">
        <v>11224</v>
      </c>
      <c r="CN25" s="16" t="n">
        <v>341686</v>
      </c>
      <c r="CO25" s="42">
        <f>CN25/CM25</f>
        <v/>
      </c>
      <c r="CP25" s="43">
        <f>CO25*3.30578512</f>
        <v/>
      </c>
      <c r="CQ25" s="15" t="n">
        <v>5442</v>
      </c>
      <c r="CR25" s="16" t="n">
        <v>201445</v>
      </c>
      <c r="CS25" s="42">
        <f>CR25/CQ25</f>
        <v/>
      </c>
      <c r="CT25" s="43">
        <f>CS25*3.30578512</f>
        <v/>
      </c>
      <c r="CU25" s="15" t="n">
        <v>56975</v>
      </c>
      <c r="CV25" s="16" t="n">
        <v>3125654</v>
      </c>
      <c r="CW25" s="42">
        <f>CV25/CU25</f>
        <v/>
      </c>
      <c r="CX25" s="43">
        <f>CW25*3.30578512</f>
        <v/>
      </c>
      <c r="CY25" s="15" t="n">
        <v>19206</v>
      </c>
      <c r="CZ25" s="16" t="n">
        <v>606890</v>
      </c>
      <c r="DA25" s="42">
        <f>CZ25/CY25</f>
        <v/>
      </c>
      <c r="DB25" s="43">
        <f>DA25*3.30578512</f>
        <v/>
      </c>
      <c r="DC25" s="15" t="n">
        <v>18184</v>
      </c>
      <c r="DD25" s="16" t="n">
        <v>1719000</v>
      </c>
      <c r="DE25" s="42">
        <f>DD25/DC25</f>
        <v/>
      </c>
      <c r="DF25" s="43">
        <f>DE25*3.30578512</f>
        <v/>
      </c>
      <c r="DG25" s="15" t="n">
        <v>16932</v>
      </c>
      <c r="DH25" s="16" t="n">
        <v>636100</v>
      </c>
      <c r="DI25" s="42">
        <f>DH25/DG25</f>
        <v/>
      </c>
      <c r="DJ25" s="43">
        <f>DI25*3.30578512</f>
        <v/>
      </c>
      <c r="DK25" s="15" t="n">
        <v>126628</v>
      </c>
      <c r="DL25" s="16" t="n">
        <v>8484650</v>
      </c>
      <c r="DM25" s="42">
        <f>DL25/DK25</f>
        <v/>
      </c>
      <c r="DN25" s="43">
        <f>DM25*3.30578512</f>
        <v/>
      </c>
      <c r="DO25" s="15" t="n">
        <v>8341</v>
      </c>
      <c r="DP25" s="16" t="n">
        <v>415100</v>
      </c>
      <c r="DQ25" s="42">
        <f>DP25/DO25</f>
        <v/>
      </c>
      <c r="DR25" s="43">
        <f>DQ25*3.30578512</f>
        <v/>
      </c>
      <c r="DS25" s="15" t="n">
        <v>7637</v>
      </c>
      <c r="DT25" s="16" t="n">
        <v>373030</v>
      </c>
      <c r="DU25" s="42">
        <f>DT25/DS25</f>
        <v/>
      </c>
      <c r="DV25" s="43">
        <f>DU25*3.30578512</f>
        <v/>
      </c>
      <c r="DW25" s="15" t="n">
        <v>8520</v>
      </c>
      <c r="DX25" s="16" t="n">
        <v>306300</v>
      </c>
      <c r="DY25" s="42">
        <f>DX25/DW25</f>
        <v/>
      </c>
      <c r="DZ25" s="43">
        <f>DY25*3.30578512</f>
        <v/>
      </c>
      <c r="EA25" s="15" t="n">
        <v>34834</v>
      </c>
      <c r="EB25" s="16" t="n">
        <v>7225000</v>
      </c>
      <c r="EC25" s="42">
        <f>EB25/EA25</f>
        <v/>
      </c>
      <c r="ED25" s="43">
        <f>EC25*3.30578512</f>
        <v/>
      </c>
      <c r="EE25" s="15" t="n">
        <v>14582</v>
      </c>
      <c r="EF25" s="16" t="n">
        <v>566477</v>
      </c>
      <c r="EG25" s="42">
        <f>EF25/EE25</f>
        <v/>
      </c>
      <c r="EH25" s="43">
        <f>EG25*3.30578512</f>
        <v/>
      </c>
      <c r="EI25" s="15" t="n">
        <v>19418</v>
      </c>
      <c r="EJ25" s="16" t="n">
        <v>532000</v>
      </c>
      <c r="EK25" s="42">
        <f>EJ25/EI25</f>
        <v/>
      </c>
      <c r="EL25" s="43">
        <f>EK25*3.30578512</f>
        <v/>
      </c>
      <c r="EM25" s="15" t="n">
        <v>2786</v>
      </c>
      <c r="EN25" s="16" t="n">
        <v>118174</v>
      </c>
      <c r="EO25" s="42">
        <f>EN25/EM25</f>
        <v/>
      </c>
      <c r="EP25" s="43">
        <f>EO25*3.30578512</f>
        <v/>
      </c>
      <c r="EQ25" s="15" t="n">
        <v>2351</v>
      </c>
      <c r="ER25" s="16" t="n">
        <v>77800</v>
      </c>
      <c r="ES25" s="42">
        <f>ER25/EQ25</f>
        <v/>
      </c>
      <c r="ET25" s="43">
        <f>ES25*3.30578512</f>
        <v/>
      </c>
      <c r="EU25" s="15" t="n">
        <v>24121</v>
      </c>
      <c r="EV25" s="16" t="n">
        <v>1183001.68755</v>
      </c>
      <c r="EW25" s="42">
        <f>EV25/EU25</f>
        <v/>
      </c>
      <c r="EX25" s="43">
        <f>EW25*3.30578512</f>
        <v/>
      </c>
      <c r="EY25" s="15" t="n">
        <v>28099</v>
      </c>
      <c r="EZ25" s="16" t="n">
        <v>4589084.49811</v>
      </c>
      <c r="FA25" s="42">
        <f>EZ25/EY25</f>
        <v/>
      </c>
      <c r="FB25" s="43">
        <f>FA25*3.30578512</f>
        <v/>
      </c>
      <c r="FC25" s="15" t="n">
        <v>113144</v>
      </c>
      <c r="FD25" s="16" t="n">
        <v>7381789.28356</v>
      </c>
      <c r="FE25" s="42">
        <f>FD25/FC25</f>
        <v/>
      </c>
      <c r="FF25" s="43">
        <f>FE25*3.30578512</f>
        <v/>
      </c>
      <c r="FG25" s="15" t="n">
        <v>633108</v>
      </c>
      <c r="FH25" s="16" t="n">
        <v>58016248.40408</v>
      </c>
      <c r="FI25" s="42">
        <f>FH25/FG25</f>
        <v/>
      </c>
      <c r="FJ25" s="43">
        <f>FI25*3.30578512</f>
        <v/>
      </c>
      <c r="FK25" s="15" t="n">
        <v>52368</v>
      </c>
      <c r="FL25" s="16" t="n">
        <v>2383111.26919</v>
      </c>
      <c r="FM25" s="42">
        <f>FL25/FK25</f>
        <v/>
      </c>
      <c r="FN25" s="43">
        <f>FM25*3.30578512</f>
        <v/>
      </c>
      <c r="FO25" s="15" t="n">
        <v>26612</v>
      </c>
      <c r="FP25" s="16" t="n">
        <v>1107518.93296</v>
      </c>
      <c r="FQ25" s="42">
        <f>FP25/FO25</f>
        <v/>
      </c>
      <c r="FR25" s="43">
        <f>FQ25*3.30578512</f>
        <v/>
      </c>
      <c r="FS25" s="15" t="n">
        <v>23571</v>
      </c>
      <c r="FT25" s="16" t="n">
        <v>1003249.38285</v>
      </c>
      <c r="FU25" s="42">
        <f>FT25/FS25</f>
        <v/>
      </c>
      <c r="FV25" s="43">
        <f>FU25*3.30578512</f>
        <v/>
      </c>
      <c r="FW25" s="15" t="n">
        <v>57960</v>
      </c>
      <c r="FX25" s="16" t="n">
        <v>4417246.94629</v>
      </c>
      <c r="FY25" s="42">
        <f>FX25/FW25</f>
        <v/>
      </c>
      <c r="FZ25" s="43">
        <f>FY25*3.30578512</f>
        <v/>
      </c>
      <c r="GA25" s="15" t="n">
        <v>184306</v>
      </c>
      <c r="GB25" s="16" t="n">
        <v>12921677.36436</v>
      </c>
      <c r="GC25" s="42">
        <f>GB25/GA25</f>
        <v/>
      </c>
      <c r="GD25" s="43">
        <f>GC25*3.30578512</f>
        <v/>
      </c>
      <c r="GE25" s="15" t="n">
        <v>43686</v>
      </c>
      <c r="GF25" s="16" t="n">
        <v>1911065.56991</v>
      </c>
      <c r="GG25" s="42">
        <f>GF25/GE25</f>
        <v/>
      </c>
      <c r="GH25" s="43">
        <f>GG25*3.30578512</f>
        <v/>
      </c>
      <c r="GI25" s="15" t="n">
        <v>46017</v>
      </c>
      <c r="GJ25" s="16" t="n">
        <v>1868560</v>
      </c>
      <c r="GK25" s="42">
        <f>GJ25/GI25</f>
        <v/>
      </c>
      <c r="GL25" s="43">
        <f>GK25*3.30578512</f>
        <v/>
      </c>
    </row>
    <row r="38">
      <c r="FQ38" s="30" t="inlineStr">
        <is>
          <t>https://www.e-stat.go.jp/stat-search/files?page=1&amp;toukei=00600120&amp;tstat=000001016965</t>
        </is>
      </c>
    </row>
  </sheetData>
  <hyperlinks>
    <hyperlink xmlns:r="http://schemas.openxmlformats.org/officeDocument/2006/relationships" ref="FQ38" r:id="rId1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42"/>
  <sheetViews>
    <sheetView topLeftCell="AP20" zoomScale="85" zoomScaleNormal="85" workbookViewId="0">
      <selection activeCell="AW39" sqref="AW39"/>
    </sheetView>
  </sheetViews>
  <sheetFormatPr baseColWidth="8" defaultColWidth="8.69921875" defaultRowHeight="18"/>
  <cols>
    <col width="2.796875" customWidth="1" style="2" min="1" max="1"/>
    <col width="24.19921875" customWidth="1" style="2" min="2" max="2"/>
    <col width="9.296875" customWidth="1" style="2" min="3" max="3"/>
    <col width="14.296875" customWidth="1" style="22" min="4" max="4"/>
    <col width="8.796875" customWidth="1" min="5" max="5"/>
    <col width="8.69921875" customWidth="1" style="2" min="6" max="48"/>
    <col width="10.09765625" customWidth="1" style="2" min="49" max="51"/>
    <col width="8.69921875" customWidth="1" style="2" min="52" max="16384"/>
  </cols>
  <sheetData>
    <row r="1" ht="19.8" customHeight="1">
      <c r="A1" s="1" t="inlineStr">
        <is>
          <t>鉄骨鉄筋コンクリート造</t>
        </is>
      </c>
    </row>
    <row r="2" customFormat="1" s="19">
      <c r="C2" s="19" t="n">
        <v>2015</v>
      </c>
      <c r="D2" s="22" t="n"/>
      <c r="F2" s="19" t="inlineStr">
        <is>
          <t>R4.2</t>
        </is>
      </c>
      <c r="I2" s="19" t="inlineStr">
        <is>
          <t>R4.5</t>
        </is>
      </c>
      <c r="L2" s="19" t="inlineStr">
        <is>
          <t>R4.8</t>
        </is>
      </c>
      <c r="O2" s="19" t="inlineStr">
        <is>
          <t>R4.11</t>
        </is>
      </c>
      <c r="R2" s="19" t="inlineStr">
        <is>
          <t>R5.2</t>
        </is>
      </c>
      <c r="U2" s="19" t="inlineStr">
        <is>
          <t>R5.5</t>
        </is>
      </c>
      <c r="X2" s="19" t="inlineStr">
        <is>
          <t>R5.8</t>
        </is>
      </c>
      <c r="AA2" s="19" t="inlineStr">
        <is>
          <t>R5.11</t>
        </is>
      </c>
      <c r="AD2" s="19" t="inlineStr">
        <is>
          <t>R6.2</t>
        </is>
      </c>
      <c r="AG2" s="19" t="inlineStr">
        <is>
          <t>R6.5</t>
        </is>
      </c>
      <c r="AJ2" s="19" t="inlineStr">
        <is>
          <t>R6.8</t>
        </is>
      </c>
      <c r="AM2" s="19" t="inlineStr">
        <is>
          <t>R6.11</t>
        </is>
      </c>
      <c r="AO2" s="19" t="inlineStr">
        <is>
          <t>R7.1</t>
        </is>
      </c>
      <c r="AP2" s="19" t="inlineStr">
        <is>
          <t>R7.2</t>
        </is>
      </c>
      <c r="AQ2" s="19" t="inlineStr">
        <is>
          <t>R7.3</t>
        </is>
      </c>
      <c r="AR2" s="19" t="inlineStr">
        <is>
          <t>R7.4</t>
        </is>
      </c>
      <c r="AS2" s="19" t="inlineStr">
        <is>
          <t>R7.5</t>
        </is>
      </c>
    </row>
    <row r="3">
      <c r="B3" s="2" t="inlineStr">
        <is>
          <t>事務所</t>
        </is>
      </c>
      <c r="C3" s="45">
        <f>鉄骨鉄筋コンクリート造!F5</f>
        <v/>
      </c>
      <c r="F3" s="45">
        <f>鉄骨鉄筋コンクリート造!J5</f>
        <v/>
      </c>
      <c r="G3" s="45" t="n"/>
      <c r="H3" s="45" t="n"/>
      <c r="I3" s="45">
        <f>鉄骨鉄筋コンクリート造!N5</f>
        <v/>
      </c>
      <c r="J3" s="45" t="n"/>
      <c r="K3" s="45" t="n"/>
      <c r="L3" s="45">
        <f>鉄骨鉄筋コンクリート造!R5</f>
        <v/>
      </c>
      <c r="M3" s="45" t="n"/>
      <c r="N3" s="45" t="n"/>
      <c r="O3" s="45">
        <f>鉄骨鉄筋コンクリート造!V5</f>
        <v/>
      </c>
      <c r="P3" s="45" t="n"/>
      <c r="Q3" s="45" t="n"/>
      <c r="R3" s="45">
        <f>鉄骨鉄筋コンクリート造!Z5</f>
        <v/>
      </c>
      <c r="S3" s="45" t="n"/>
      <c r="T3" s="45" t="n"/>
      <c r="U3" s="45">
        <f>鉄骨鉄筋コンクリート造!AD5</f>
        <v/>
      </c>
      <c r="V3" s="45" t="n"/>
      <c r="W3" s="45" t="n"/>
      <c r="X3" s="45">
        <f>鉄骨鉄筋コンクリート造!AH5</f>
        <v/>
      </c>
      <c r="Y3" s="45" t="n"/>
      <c r="Z3" s="45" t="n"/>
      <c r="AA3" s="45">
        <f>鉄骨鉄筋コンクリート造!AL5</f>
        <v/>
      </c>
      <c r="AB3" s="45" t="n"/>
      <c r="AC3" s="45" t="n"/>
      <c r="AD3" s="45">
        <f>鉄骨鉄筋コンクリート造!AP5</f>
        <v/>
      </c>
      <c r="AE3" s="45" t="n"/>
      <c r="AF3" s="45" t="n"/>
      <c r="AG3" s="45">
        <f>鉄骨鉄筋コンクリート造!AT5</f>
        <v/>
      </c>
      <c r="AH3" s="45" t="n"/>
      <c r="AI3" s="45" t="n"/>
      <c r="AJ3" s="45">
        <f>鉄骨鉄筋コンクリート造!AX5</f>
        <v/>
      </c>
      <c r="AK3" s="45" t="n"/>
      <c r="AL3" s="45" t="n"/>
      <c r="AM3" s="45">
        <f>鉄骨鉄筋コンクリート造!BB5</f>
        <v/>
      </c>
      <c r="AN3" s="45" t="n"/>
      <c r="AO3" s="45" t="n"/>
      <c r="AP3" s="45">
        <f>鉄骨鉄筋コンクリート造!BF5</f>
        <v/>
      </c>
      <c r="AQ3" s="45" t="n"/>
      <c r="AR3" s="45" t="n"/>
      <c r="AS3" s="45">
        <f>鉄骨鉄筋コンクリート造!BJ5</f>
        <v/>
      </c>
    </row>
    <row r="4">
      <c r="B4" s="2" t="inlineStr">
        <is>
          <t>店舗</t>
        </is>
      </c>
      <c r="C4" s="45">
        <f>鉄骨鉄筋コンクリート造!F6</f>
        <v/>
      </c>
      <c r="F4" s="45">
        <f>鉄骨鉄筋コンクリート造!J6</f>
        <v/>
      </c>
      <c r="G4" s="45" t="n"/>
      <c r="H4" s="45" t="n"/>
      <c r="I4" s="45">
        <f>鉄骨鉄筋コンクリート造!N6</f>
        <v/>
      </c>
      <c r="J4" s="45" t="n"/>
      <c r="K4" s="45" t="n"/>
      <c r="L4" s="45">
        <f>鉄骨鉄筋コンクリート造!R6</f>
        <v/>
      </c>
      <c r="M4" s="45" t="n"/>
      <c r="N4" s="45" t="n"/>
      <c r="O4" s="45">
        <f>鉄骨鉄筋コンクリート造!V6</f>
        <v/>
      </c>
      <c r="P4" s="45" t="n"/>
      <c r="Q4" s="45" t="n"/>
      <c r="R4" s="45">
        <f>鉄骨鉄筋コンクリート造!Z6</f>
        <v/>
      </c>
      <c r="S4" s="45" t="n"/>
      <c r="T4" s="45" t="n"/>
      <c r="U4" s="45">
        <f>鉄骨鉄筋コンクリート造!AD6</f>
        <v/>
      </c>
      <c r="V4" s="45" t="n"/>
      <c r="W4" s="45" t="n"/>
      <c r="X4" s="45">
        <f>鉄骨鉄筋コンクリート造!AH6</f>
        <v/>
      </c>
      <c r="Y4" s="45" t="n"/>
      <c r="Z4" s="45" t="n"/>
      <c r="AA4" s="45">
        <f>鉄骨鉄筋コンクリート造!AL6</f>
        <v/>
      </c>
      <c r="AB4" s="45" t="n"/>
      <c r="AC4" s="45" t="n"/>
      <c r="AD4" s="45">
        <f>鉄骨鉄筋コンクリート造!AP6</f>
        <v/>
      </c>
      <c r="AE4" s="45" t="n"/>
      <c r="AF4" s="45" t="n"/>
      <c r="AG4" s="45">
        <f>鉄骨鉄筋コンクリート造!AT6</f>
        <v/>
      </c>
      <c r="AH4" s="45" t="n"/>
      <c r="AI4" s="45" t="n"/>
      <c r="AJ4" s="45">
        <f>鉄骨鉄筋コンクリート造!AX6</f>
        <v/>
      </c>
      <c r="AK4" s="45" t="n"/>
      <c r="AL4" s="45" t="n"/>
      <c r="AM4" s="45">
        <f>鉄骨鉄筋コンクリート造!BB6</f>
        <v/>
      </c>
      <c r="AN4" s="45" t="n"/>
      <c r="AO4" s="45" t="n"/>
      <c r="AP4" s="45">
        <f>鉄骨鉄筋コンクリート造!BF6</f>
        <v/>
      </c>
      <c r="AQ4" s="45" t="n"/>
      <c r="AR4" s="45" t="n"/>
      <c r="AS4" s="45">
        <f>鉄骨鉄筋コンクリート造!BJ6</f>
        <v/>
      </c>
    </row>
    <row r="5">
      <c r="B5" s="2" t="inlineStr">
        <is>
          <t>工場及び作業場</t>
        </is>
      </c>
      <c r="C5" s="45">
        <f>鉄骨鉄筋コンクリート造!F7</f>
        <v/>
      </c>
      <c r="F5" s="45">
        <f>鉄骨鉄筋コンクリート造!J7</f>
        <v/>
      </c>
      <c r="G5" s="45" t="n"/>
      <c r="H5" s="45" t="n"/>
      <c r="I5" s="45">
        <f>鉄骨鉄筋コンクリート造!N7</f>
        <v/>
      </c>
      <c r="J5" s="45" t="n"/>
      <c r="K5" s="45" t="n"/>
      <c r="L5" s="45">
        <f>鉄骨鉄筋コンクリート造!R7</f>
        <v/>
      </c>
      <c r="M5" s="45" t="n"/>
      <c r="N5" s="45" t="n"/>
      <c r="O5" s="45">
        <f>鉄骨鉄筋コンクリート造!V7</f>
        <v/>
      </c>
      <c r="P5" s="45" t="n"/>
      <c r="Q5" s="45" t="n"/>
      <c r="R5" s="45">
        <f>鉄骨鉄筋コンクリート造!Z7</f>
        <v/>
      </c>
      <c r="S5" s="45" t="n"/>
      <c r="T5" s="45" t="n"/>
      <c r="U5" s="45">
        <f>鉄骨鉄筋コンクリート造!AD7</f>
        <v/>
      </c>
      <c r="V5" s="45" t="n"/>
      <c r="W5" s="45" t="n"/>
      <c r="X5" s="45">
        <f>鉄骨鉄筋コンクリート造!AH7</f>
        <v/>
      </c>
      <c r="Y5" s="45" t="n"/>
      <c r="Z5" s="45" t="n"/>
      <c r="AA5" s="45">
        <f>鉄骨鉄筋コンクリート造!AL7</f>
        <v/>
      </c>
      <c r="AB5" s="45" t="n"/>
      <c r="AC5" s="45" t="n"/>
      <c r="AD5" s="45">
        <f>鉄骨鉄筋コンクリート造!AP7</f>
        <v/>
      </c>
      <c r="AE5" s="45" t="n"/>
      <c r="AF5" s="45" t="n"/>
      <c r="AG5" s="45">
        <f>鉄骨鉄筋コンクリート造!AT7</f>
        <v/>
      </c>
      <c r="AH5" s="45" t="n"/>
      <c r="AI5" s="45" t="n"/>
      <c r="AJ5" s="45">
        <f>鉄骨鉄筋コンクリート造!AX7</f>
        <v/>
      </c>
      <c r="AK5" s="45" t="n"/>
      <c r="AL5" s="45" t="n"/>
      <c r="AM5" s="45">
        <f>鉄骨鉄筋コンクリート造!BB7</f>
        <v/>
      </c>
      <c r="AN5" s="45" t="n"/>
      <c r="AO5" s="45" t="n"/>
      <c r="AP5" s="45">
        <f>鉄骨鉄筋コンクリート造!BF7</f>
        <v/>
      </c>
      <c r="AQ5" s="45" t="n"/>
      <c r="AR5" s="45" t="n"/>
      <c r="AS5" s="45">
        <f>鉄骨鉄筋コンクリート造!BJ7</f>
        <v/>
      </c>
    </row>
    <row r="6">
      <c r="B6" s="2" t="inlineStr">
        <is>
          <t>倉庫</t>
        </is>
      </c>
      <c r="C6" s="45">
        <f>鉄骨鉄筋コンクリート造!F8</f>
        <v/>
      </c>
      <c r="F6" s="45">
        <f>鉄骨鉄筋コンクリート造!J8</f>
        <v/>
      </c>
      <c r="G6" s="45" t="n"/>
      <c r="H6" s="45" t="n"/>
      <c r="I6" s="45">
        <f>鉄骨鉄筋コンクリート造!N8</f>
        <v/>
      </c>
      <c r="J6" s="45" t="n"/>
      <c r="K6" s="45" t="n"/>
      <c r="L6" s="45">
        <f>鉄骨鉄筋コンクリート造!R8</f>
        <v/>
      </c>
      <c r="M6" s="45" t="n"/>
      <c r="N6" s="45" t="n"/>
      <c r="O6" s="45">
        <f>鉄骨鉄筋コンクリート造!V8</f>
        <v/>
      </c>
      <c r="P6" s="45" t="n"/>
      <c r="Q6" s="45" t="n"/>
      <c r="R6" s="45">
        <f>鉄骨鉄筋コンクリート造!Z8</f>
        <v/>
      </c>
      <c r="S6" s="45" t="n"/>
      <c r="T6" s="45" t="n"/>
      <c r="U6" s="45">
        <f>鉄骨鉄筋コンクリート造!AD8</f>
        <v/>
      </c>
      <c r="V6" s="45" t="n"/>
      <c r="W6" s="45" t="n"/>
      <c r="X6" s="45">
        <f>鉄骨鉄筋コンクリート造!AH8</f>
        <v/>
      </c>
      <c r="Y6" s="45" t="n"/>
      <c r="Z6" s="45" t="n"/>
      <c r="AA6" s="45">
        <f>鉄骨鉄筋コンクリート造!AL8</f>
        <v/>
      </c>
      <c r="AB6" s="45" t="n"/>
      <c r="AC6" s="45" t="n"/>
      <c r="AD6" s="45">
        <f>鉄骨鉄筋コンクリート造!AP8</f>
        <v/>
      </c>
      <c r="AE6" s="45" t="n"/>
      <c r="AF6" s="45" t="n"/>
      <c r="AG6" s="45">
        <f>鉄骨鉄筋コンクリート造!AT8</f>
        <v/>
      </c>
      <c r="AH6" s="45" t="n"/>
      <c r="AI6" s="45" t="n"/>
      <c r="AJ6" s="45">
        <f>鉄骨鉄筋コンクリート造!AX8</f>
        <v/>
      </c>
      <c r="AK6" s="45" t="n"/>
      <c r="AL6" s="45" t="n"/>
      <c r="AM6" s="45">
        <f>鉄骨鉄筋コンクリート造!BB8</f>
        <v/>
      </c>
      <c r="AN6" s="45" t="n"/>
      <c r="AO6" s="45" t="n"/>
      <c r="AP6" s="45">
        <f>鉄骨鉄筋コンクリート造!BF8</f>
        <v/>
      </c>
      <c r="AQ6" s="45" t="n"/>
      <c r="AR6" s="45" t="n"/>
      <c r="AS6" s="45">
        <f>鉄骨鉄筋コンクリート造!BJ8</f>
        <v/>
      </c>
    </row>
    <row r="7">
      <c r="B7" s="2" t="inlineStr">
        <is>
          <t>学校の校舎</t>
        </is>
      </c>
      <c r="C7" s="45">
        <f>鉄骨鉄筋コンクリート造!F9</f>
        <v/>
      </c>
      <c r="F7" s="45">
        <f>鉄骨鉄筋コンクリート造!J9</f>
        <v/>
      </c>
      <c r="G7" s="45" t="n"/>
      <c r="H7" s="45" t="n"/>
      <c r="I7" s="45">
        <f>鉄骨鉄筋コンクリート造!N9</f>
        <v/>
      </c>
      <c r="J7" s="45" t="n"/>
      <c r="K7" s="45" t="n"/>
      <c r="L7" s="45">
        <f>鉄骨鉄筋コンクリート造!R9</f>
        <v/>
      </c>
      <c r="M7" s="45" t="n"/>
      <c r="N7" s="45" t="n"/>
      <c r="O7" s="45">
        <f>鉄骨鉄筋コンクリート造!V9</f>
        <v/>
      </c>
      <c r="P7" s="45" t="n"/>
      <c r="Q7" s="45" t="n"/>
      <c r="R7" s="45">
        <f>鉄骨鉄筋コンクリート造!Z9</f>
        <v/>
      </c>
      <c r="S7" s="45" t="n"/>
      <c r="T7" s="45" t="n"/>
      <c r="U7" s="45">
        <f>鉄骨鉄筋コンクリート造!AD9</f>
        <v/>
      </c>
      <c r="V7" s="45" t="n"/>
      <c r="W7" s="45" t="n"/>
      <c r="X7" s="45">
        <f>鉄骨鉄筋コンクリート造!AH9</f>
        <v/>
      </c>
      <c r="Y7" s="45" t="n"/>
      <c r="Z7" s="45" t="n"/>
      <c r="AA7" s="45">
        <f>鉄骨鉄筋コンクリート造!AL9</f>
        <v/>
      </c>
      <c r="AB7" s="45" t="n"/>
      <c r="AC7" s="45" t="n"/>
      <c r="AD7" s="45">
        <f>鉄骨鉄筋コンクリート造!AP9</f>
        <v/>
      </c>
      <c r="AE7" s="45" t="n"/>
      <c r="AF7" s="45" t="n"/>
      <c r="AG7" s="45">
        <f>鉄骨鉄筋コンクリート造!AT9</f>
        <v/>
      </c>
      <c r="AH7" s="45" t="n"/>
      <c r="AI7" s="45" t="n"/>
      <c r="AJ7" s="45">
        <f>鉄骨鉄筋コンクリート造!AX9</f>
        <v/>
      </c>
      <c r="AK7" s="45" t="n"/>
      <c r="AL7" s="45" t="n"/>
      <c r="AM7" s="45">
        <f>鉄骨鉄筋コンクリート造!BB9</f>
        <v/>
      </c>
      <c r="AN7" s="45" t="n"/>
      <c r="AO7" s="45" t="n"/>
      <c r="AP7" s="45">
        <f>鉄骨鉄筋コンクリート造!BF9</f>
        <v/>
      </c>
      <c r="AQ7" s="45" t="n"/>
      <c r="AR7" s="45" t="n"/>
      <c r="AS7" s="45">
        <f>鉄骨鉄筋コンクリート造!BJ9</f>
        <v/>
      </c>
    </row>
    <row r="8">
      <c r="B8" s="2" t="inlineStr">
        <is>
          <t>病院・診療所</t>
        </is>
      </c>
      <c r="C8" s="45">
        <f>鉄骨鉄筋コンクリート造!F10</f>
        <v/>
      </c>
      <c r="F8" s="45">
        <f>鉄骨鉄筋コンクリート造!J10</f>
        <v/>
      </c>
      <c r="G8" s="45" t="n"/>
      <c r="H8" s="45" t="n"/>
      <c r="I8" s="45">
        <f>鉄骨鉄筋コンクリート造!N10</f>
        <v/>
      </c>
      <c r="J8" s="45" t="n"/>
      <c r="K8" s="45" t="n"/>
      <c r="L8" s="45">
        <f>鉄骨鉄筋コンクリート造!R10</f>
        <v/>
      </c>
      <c r="M8" s="45" t="n"/>
      <c r="N8" s="45" t="n"/>
      <c r="O8" s="45">
        <f>鉄骨鉄筋コンクリート造!V10</f>
        <v/>
      </c>
      <c r="P8" s="45" t="n"/>
      <c r="Q8" s="45" t="n"/>
      <c r="R8" s="45">
        <f>鉄骨鉄筋コンクリート造!Z10</f>
        <v/>
      </c>
      <c r="S8" s="45" t="n"/>
      <c r="T8" s="45" t="n"/>
      <c r="U8" s="45">
        <f>鉄骨鉄筋コンクリート造!AD10</f>
        <v/>
      </c>
      <c r="V8" s="45" t="n"/>
      <c r="W8" s="45" t="n"/>
      <c r="X8" s="45">
        <f>鉄骨鉄筋コンクリート造!AH10</f>
        <v/>
      </c>
      <c r="Y8" s="45" t="n"/>
      <c r="Z8" s="45" t="n"/>
      <c r="AA8" s="45">
        <f>鉄骨鉄筋コンクリート造!AL10</f>
        <v/>
      </c>
      <c r="AB8" s="45" t="n"/>
      <c r="AC8" s="45" t="n"/>
      <c r="AD8" s="45">
        <f>鉄骨鉄筋コンクリート造!AP10</f>
        <v/>
      </c>
      <c r="AE8" s="45" t="n"/>
      <c r="AF8" s="45" t="n"/>
      <c r="AG8" s="45">
        <f>鉄骨鉄筋コンクリート造!AT10</f>
        <v/>
      </c>
      <c r="AH8" s="45" t="n"/>
      <c r="AI8" s="45" t="n"/>
      <c r="AJ8" s="45">
        <f>鉄骨鉄筋コンクリート造!AX10</f>
        <v/>
      </c>
      <c r="AK8" s="45" t="n"/>
      <c r="AL8" s="45" t="n"/>
      <c r="AM8" s="45">
        <f>鉄骨鉄筋コンクリート造!BB10</f>
        <v/>
      </c>
      <c r="AN8" s="45" t="n"/>
      <c r="AO8" s="45" t="n"/>
      <c r="AP8" s="45">
        <f>鉄骨鉄筋コンクリート造!BF10</f>
        <v/>
      </c>
      <c r="AQ8" s="45" t="n"/>
      <c r="AR8" s="45" t="n"/>
      <c r="AS8" s="45">
        <f>鉄骨鉄筋コンクリート造!BJ10</f>
        <v/>
      </c>
    </row>
    <row r="9">
      <c r="B9" s="2" t="inlineStr">
        <is>
          <t>その他</t>
        </is>
      </c>
      <c r="C9" s="45">
        <f>鉄骨鉄筋コンクリート造!F11</f>
        <v/>
      </c>
      <c r="F9" s="45">
        <f>鉄骨鉄筋コンクリート造!J11</f>
        <v/>
      </c>
      <c r="G9" s="45" t="n"/>
      <c r="H9" s="45" t="n"/>
      <c r="I9" s="45">
        <f>鉄骨鉄筋コンクリート造!N11</f>
        <v/>
      </c>
      <c r="J9" s="45" t="n"/>
      <c r="K9" s="45" t="n"/>
      <c r="L9" s="45">
        <f>鉄骨鉄筋コンクリート造!R11</f>
        <v/>
      </c>
      <c r="M9" s="45" t="n"/>
      <c r="N9" s="45" t="n"/>
      <c r="O9" s="45">
        <f>鉄骨鉄筋コンクリート造!V11</f>
        <v/>
      </c>
      <c r="P9" s="45" t="n"/>
      <c r="Q9" s="45" t="n"/>
      <c r="R9" s="45">
        <f>鉄骨鉄筋コンクリート造!Z11</f>
        <v/>
      </c>
      <c r="S9" s="45" t="n"/>
      <c r="T9" s="45" t="n"/>
      <c r="U9" s="45">
        <f>鉄骨鉄筋コンクリート造!AD11</f>
        <v/>
      </c>
      <c r="V9" s="45" t="n"/>
      <c r="W9" s="45" t="n"/>
      <c r="X9" s="45">
        <f>鉄骨鉄筋コンクリート造!AH11</f>
        <v/>
      </c>
      <c r="Y9" s="45" t="n"/>
      <c r="Z9" s="45" t="n"/>
      <c r="AA9" s="45">
        <f>鉄骨鉄筋コンクリート造!AL11</f>
        <v/>
      </c>
      <c r="AB9" s="45" t="n"/>
      <c r="AC9" s="45" t="n"/>
      <c r="AD9" s="45">
        <f>鉄骨鉄筋コンクリート造!AP11</f>
        <v/>
      </c>
      <c r="AE9" s="45" t="n"/>
      <c r="AF9" s="45" t="n"/>
      <c r="AG9" s="45">
        <f>鉄骨鉄筋コンクリート造!AT11</f>
        <v/>
      </c>
      <c r="AH9" s="45" t="n"/>
      <c r="AI9" s="45" t="n"/>
      <c r="AJ9" s="45">
        <f>鉄骨鉄筋コンクリート造!AX11</f>
        <v/>
      </c>
      <c r="AK9" s="45" t="n"/>
      <c r="AL9" s="45" t="n"/>
      <c r="AM9" s="45">
        <f>鉄骨鉄筋コンクリート造!BB11</f>
        <v/>
      </c>
      <c r="AN9" s="45" t="n"/>
      <c r="AO9" s="45" t="n"/>
      <c r="AP9" s="45">
        <f>鉄骨鉄筋コンクリート造!BF11</f>
        <v/>
      </c>
      <c r="AQ9" s="45" t="n"/>
      <c r="AR9" s="45" t="n"/>
      <c r="AS9" s="45">
        <f>鉄骨鉄筋コンクリート造!BJ11</f>
        <v/>
      </c>
    </row>
    <row r="11" ht="19.8" customHeight="1">
      <c r="A11" s="1" t="inlineStr">
        <is>
          <t>鉄筋コンクリート造</t>
        </is>
      </c>
    </row>
    <row r="12" customFormat="1" s="19">
      <c r="C12" s="19" t="n">
        <v>2015</v>
      </c>
      <c r="D12" s="22" t="n"/>
      <c r="F12" s="19" t="inlineStr">
        <is>
          <t>R4.2</t>
        </is>
      </c>
      <c r="I12" s="19" t="inlineStr">
        <is>
          <t>R4.5</t>
        </is>
      </c>
      <c r="L12" s="19" t="inlineStr">
        <is>
          <t>R4.8</t>
        </is>
      </c>
      <c r="O12" s="19" t="inlineStr">
        <is>
          <t>R4.11</t>
        </is>
      </c>
      <c r="R12" s="19" t="inlineStr">
        <is>
          <t>R5.2</t>
        </is>
      </c>
      <c r="U12" s="19" t="inlineStr">
        <is>
          <t>R5.5</t>
        </is>
      </c>
      <c r="X12" s="19" t="inlineStr">
        <is>
          <t>R5.8</t>
        </is>
      </c>
      <c r="AA12" s="19" t="inlineStr">
        <is>
          <t>R5.11</t>
        </is>
      </c>
      <c r="AD12" s="19" t="inlineStr">
        <is>
          <t>R6.2</t>
        </is>
      </c>
      <c r="AG12" s="19" t="inlineStr">
        <is>
          <t>R6.5</t>
        </is>
      </c>
      <c r="AJ12" s="19" t="inlineStr">
        <is>
          <t>R6.8</t>
        </is>
      </c>
      <c r="AM12" s="19" t="inlineStr">
        <is>
          <t>R6.11</t>
        </is>
      </c>
      <c r="AO12" s="19" t="inlineStr">
        <is>
          <t>R7.1</t>
        </is>
      </c>
      <c r="AP12" s="19" t="inlineStr">
        <is>
          <t>R7.2</t>
        </is>
      </c>
      <c r="AQ12" s="19" t="inlineStr">
        <is>
          <t>R7.3</t>
        </is>
      </c>
      <c r="AR12" s="19" t="inlineStr">
        <is>
          <t>R7.4</t>
        </is>
      </c>
      <c r="AS12" s="19" t="inlineStr">
        <is>
          <t>R7.5</t>
        </is>
      </c>
    </row>
    <row r="13">
      <c r="B13" s="2" t="inlineStr">
        <is>
          <t>事務所</t>
        </is>
      </c>
      <c r="C13" s="45">
        <f>鉄筋コンクリート造!F5</f>
        <v/>
      </c>
      <c r="F13" s="45">
        <f>鉄筋コンクリート造!J5</f>
        <v/>
      </c>
      <c r="G13" s="45" t="n"/>
      <c r="H13" s="45" t="n"/>
      <c r="I13" s="45">
        <f>鉄筋コンクリート造!N5</f>
        <v/>
      </c>
      <c r="J13" s="45" t="n"/>
      <c r="K13" s="45" t="n"/>
      <c r="L13" s="45">
        <f>鉄筋コンクリート造!R5</f>
        <v/>
      </c>
      <c r="M13" s="45" t="n"/>
      <c r="N13" s="45" t="n"/>
      <c r="O13" s="45">
        <f>鉄筋コンクリート造!V5</f>
        <v/>
      </c>
      <c r="P13" s="45" t="n"/>
      <c r="Q13" s="45" t="n"/>
      <c r="R13" s="45">
        <f>鉄筋コンクリート造!Z5</f>
        <v/>
      </c>
      <c r="S13" s="45" t="n"/>
      <c r="T13" s="45" t="n"/>
      <c r="U13" s="45">
        <f>鉄筋コンクリート造!AD5</f>
        <v/>
      </c>
      <c r="V13" s="45" t="n"/>
      <c r="W13" s="45" t="n"/>
      <c r="X13" s="45">
        <f>鉄筋コンクリート造!AH5</f>
        <v/>
      </c>
      <c r="Y13" s="45" t="n"/>
      <c r="Z13" s="45" t="n"/>
      <c r="AA13" s="45">
        <f>鉄筋コンクリート造!AL5</f>
        <v/>
      </c>
      <c r="AB13" s="45" t="n"/>
      <c r="AC13" s="45" t="n"/>
      <c r="AD13" s="45">
        <f>鉄筋コンクリート造!AP5</f>
        <v/>
      </c>
      <c r="AE13" s="45" t="n"/>
      <c r="AF13" s="45" t="n"/>
      <c r="AG13" s="45">
        <f>鉄筋コンクリート造!AT5</f>
        <v/>
      </c>
      <c r="AH13" s="45" t="n"/>
      <c r="AI13" s="45" t="n"/>
      <c r="AJ13" s="45">
        <f>鉄筋コンクリート造!AX5</f>
        <v/>
      </c>
      <c r="AK13" s="45" t="n"/>
      <c r="AL13" s="45" t="n"/>
      <c r="AM13" s="45">
        <f>鉄筋コンクリート造!BB5</f>
        <v/>
      </c>
      <c r="AN13" s="45" t="n"/>
      <c r="AO13" s="45" t="n"/>
      <c r="AP13" s="45">
        <f>鉄筋コンクリート造!BF5</f>
        <v/>
      </c>
      <c r="AQ13" s="45" t="n"/>
      <c r="AR13" s="45" t="n"/>
      <c r="AS13" s="45">
        <f>鉄筋コンクリート造!BJ5</f>
        <v/>
      </c>
    </row>
    <row r="14" customFormat="1" s="23">
      <c r="B14" s="24" t="inlineStr">
        <is>
          <t>指数化</t>
        </is>
      </c>
      <c r="C14" s="46" t="n">
        <v>100</v>
      </c>
      <c r="D14" s="24" t="n"/>
      <c r="F14" s="46">
        <f>F13/$C$13*100</f>
        <v/>
      </c>
      <c r="G14" s="46" t="n"/>
      <c r="H14" s="46" t="n"/>
      <c r="I14" s="46">
        <f>I13/$C$13*100</f>
        <v/>
      </c>
      <c r="J14" s="46" t="n"/>
      <c r="K14" s="46" t="n"/>
      <c r="L14" s="46">
        <f>L13/$C$13*100</f>
        <v/>
      </c>
      <c r="M14" s="46" t="n"/>
      <c r="N14" s="46" t="n"/>
      <c r="O14" s="46">
        <f>O13/$C$13*100</f>
        <v/>
      </c>
      <c r="P14" s="46" t="n"/>
      <c r="Q14" s="46" t="n"/>
      <c r="R14" s="46">
        <f>R13/$C$13*100</f>
        <v/>
      </c>
      <c r="S14" s="46" t="n"/>
      <c r="T14" s="46" t="n"/>
      <c r="U14" s="46">
        <f>U13/$C$13*100</f>
        <v/>
      </c>
      <c r="V14" s="46" t="n"/>
      <c r="W14" s="46" t="n"/>
      <c r="X14" s="46">
        <f>X13/$C$13*100</f>
        <v/>
      </c>
      <c r="Y14" s="46" t="n"/>
      <c r="Z14" s="46" t="n"/>
      <c r="AA14" s="46">
        <f>AA13/$C$13*100</f>
        <v/>
      </c>
      <c r="AB14" s="46" t="n"/>
      <c r="AC14" s="46" t="n"/>
      <c r="AD14" s="46">
        <f>AD13/$C$13*100</f>
        <v/>
      </c>
      <c r="AE14" s="46" t="n"/>
      <c r="AF14" s="46" t="n"/>
      <c r="AG14" s="46">
        <f>AG13/$C$13*100</f>
        <v/>
      </c>
      <c r="AH14" s="46" t="n"/>
      <c r="AI14" s="46" t="n"/>
      <c r="AJ14" s="46">
        <f>AJ13/$C$13*100</f>
        <v/>
      </c>
      <c r="AK14" s="46" t="n"/>
      <c r="AL14" s="46" t="n"/>
      <c r="AM14" s="46">
        <f>AM13/$C$13*100</f>
        <v/>
      </c>
      <c r="AN14" s="46" t="n"/>
      <c r="AO14" s="46" t="n"/>
      <c r="AP14" s="46">
        <f>AP13/$C$13*100</f>
        <v/>
      </c>
      <c r="AQ14" s="46" t="n"/>
      <c r="AR14" s="46" t="n"/>
      <c r="AS14" s="46">
        <f>AS13/$C$13*100</f>
        <v/>
      </c>
    </row>
    <row r="15">
      <c r="B15" s="2" t="inlineStr">
        <is>
          <t>店舗</t>
        </is>
      </c>
      <c r="C15" s="45">
        <f>鉄筋コンクリート造!F6</f>
        <v/>
      </c>
      <c r="F15" s="45">
        <f>鉄筋コンクリート造!J6</f>
        <v/>
      </c>
      <c r="G15" s="45" t="n"/>
      <c r="H15" s="45" t="n"/>
      <c r="I15" s="45">
        <f>鉄筋コンクリート造!N6</f>
        <v/>
      </c>
      <c r="J15" s="45" t="n"/>
      <c r="K15" s="45" t="n"/>
      <c r="L15" s="45">
        <f>鉄筋コンクリート造!R6</f>
        <v/>
      </c>
      <c r="M15" s="45" t="n"/>
      <c r="N15" s="45" t="n"/>
      <c r="O15" s="45">
        <f>鉄筋コンクリート造!V6</f>
        <v/>
      </c>
      <c r="P15" s="45" t="n"/>
      <c r="Q15" s="45" t="n"/>
      <c r="R15" s="45">
        <f>鉄筋コンクリート造!Z6</f>
        <v/>
      </c>
      <c r="S15" s="45" t="n"/>
      <c r="T15" s="45" t="n"/>
      <c r="U15" s="45">
        <f>鉄筋コンクリート造!AD6</f>
        <v/>
      </c>
      <c r="V15" s="45" t="n"/>
      <c r="W15" s="45" t="n"/>
      <c r="X15" s="45">
        <f>鉄筋コンクリート造!AH6</f>
        <v/>
      </c>
      <c r="Y15" s="45" t="n"/>
      <c r="Z15" s="45" t="n"/>
      <c r="AA15" s="45">
        <f>鉄筋コンクリート造!AL6</f>
        <v/>
      </c>
      <c r="AB15" s="45" t="n"/>
      <c r="AC15" s="45" t="n"/>
      <c r="AD15" s="45">
        <f>鉄筋コンクリート造!AP6</f>
        <v/>
      </c>
      <c r="AE15" s="45" t="n"/>
      <c r="AF15" s="45" t="n"/>
      <c r="AG15" s="45">
        <f>鉄筋コンクリート造!AT6</f>
        <v/>
      </c>
      <c r="AH15" s="45" t="n"/>
      <c r="AI15" s="45" t="n"/>
      <c r="AJ15" s="45">
        <f>鉄筋コンクリート造!AX6</f>
        <v/>
      </c>
      <c r="AK15" s="45" t="n"/>
      <c r="AL15" s="45" t="n"/>
      <c r="AM15" s="45">
        <f>鉄筋コンクリート造!BB6</f>
        <v/>
      </c>
      <c r="AN15" s="45" t="n"/>
      <c r="AO15" s="45" t="n"/>
      <c r="AP15" s="45">
        <f>鉄筋コンクリート造!BF6</f>
        <v/>
      </c>
      <c r="AQ15" s="45" t="n"/>
      <c r="AR15" s="45" t="n"/>
      <c r="AS15" s="45">
        <f>鉄筋コンクリート造!BJ6</f>
        <v/>
      </c>
    </row>
    <row r="16">
      <c r="B16" s="2" t="inlineStr">
        <is>
          <t>工場及び作業場</t>
        </is>
      </c>
      <c r="C16" s="45">
        <f>鉄筋コンクリート造!F7</f>
        <v/>
      </c>
      <c r="F16" s="45">
        <f>鉄筋コンクリート造!J7</f>
        <v/>
      </c>
      <c r="G16" s="45" t="n"/>
      <c r="H16" s="45" t="n"/>
      <c r="I16" s="45">
        <f>鉄筋コンクリート造!N7</f>
        <v/>
      </c>
      <c r="J16" s="45" t="n"/>
      <c r="K16" s="45" t="n"/>
      <c r="L16" s="45">
        <f>鉄筋コンクリート造!R7</f>
        <v/>
      </c>
      <c r="M16" s="45" t="n"/>
      <c r="N16" s="45" t="n"/>
      <c r="O16" s="45">
        <f>鉄筋コンクリート造!V7</f>
        <v/>
      </c>
      <c r="P16" s="45" t="n"/>
      <c r="Q16" s="45" t="n"/>
      <c r="R16" s="45">
        <f>鉄筋コンクリート造!Z7</f>
        <v/>
      </c>
      <c r="S16" s="45" t="n"/>
      <c r="T16" s="45" t="n"/>
      <c r="U16" s="45">
        <f>鉄筋コンクリート造!AD7</f>
        <v/>
      </c>
      <c r="V16" s="45" t="n"/>
      <c r="W16" s="45" t="n"/>
      <c r="X16" s="45">
        <f>鉄筋コンクリート造!AH7</f>
        <v/>
      </c>
      <c r="Y16" s="45" t="n"/>
      <c r="Z16" s="45" t="n"/>
      <c r="AA16" s="45">
        <f>鉄筋コンクリート造!AL7</f>
        <v/>
      </c>
      <c r="AB16" s="45" t="n"/>
      <c r="AC16" s="45" t="n"/>
      <c r="AD16" s="45">
        <f>鉄筋コンクリート造!AP7</f>
        <v/>
      </c>
      <c r="AE16" s="45" t="n"/>
      <c r="AF16" s="45" t="n"/>
      <c r="AG16" s="45">
        <f>鉄筋コンクリート造!AT7</f>
        <v/>
      </c>
      <c r="AH16" s="45" t="n"/>
      <c r="AI16" s="45" t="n"/>
      <c r="AJ16" s="45">
        <f>鉄筋コンクリート造!AX7</f>
        <v/>
      </c>
      <c r="AK16" s="45" t="n"/>
      <c r="AL16" s="45" t="n"/>
      <c r="AM16" s="45">
        <f>鉄筋コンクリート造!BB7</f>
        <v/>
      </c>
      <c r="AN16" s="45" t="n"/>
      <c r="AO16" s="45" t="n"/>
      <c r="AP16" s="45">
        <f>鉄筋コンクリート造!BF7</f>
        <v/>
      </c>
      <c r="AQ16" s="45" t="n"/>
      <c r="AR16" s="45" t="n"/>
      <c r="AS16" s="45">
        <f>鉄筋コンクリート造!BJ7</f>
        <v/>
      </c>
    </row>
    <row r="17">
      <c r="B17" s="2" t="inlineStr">
        <is>
          <t>倉庫</t>
        </is>
      </c>
      <c r="C17" s="45">
        <f>鉄筋コンクリート造!F8</f>
        <v/>
      </c>
      <c r="F17" s="45">
        <f>鉄筋コンクリート造!J8</f>
        <v/>
      </c>
      <c r="G17" s="45" t="n"/>
      <c r="H17" s="45" t="n"/>
      <c r="I17" s="45">
        <f>鉄筋コンクリート造!N8</f>
        <v/>
      </c>
      <c r="J17" s="45" t="n"/>
      <c r="K17" s="45" t="n"/>
      <c r="L17" s="45">
        <f>鉄筋コンクリート造!R8</f>
        <v/>
      </c>
      <c r="M17" s="45" t="n"/>
      <c r="N17" s="45" t="n"/>
      <c r="O17" s="45">
        <f>鉄筋コンクリート造!V8</f>
        <v/>
      </c>
      <c r="P17" s="45" t="n"/>
      <c r="Q17" s="45" t="n"/>
      <c r="R17" s="45">
        <f>鉄筋コンクリート造!Z8</f>
        <v/>
      </c>
      <c r="S17" s="45" t="n"/>
      <c r="T17" s="45" t="n"/>
      <c r="U17" s="45">
        <f>鉄筋コンクリート造!AD8</f>
        <v/>
      </c>
      <c r="V17" s="45" t="n"/>
      <c r="W17" s="45" t="n"/>
      <c r="X17" s="45">
        <f>鉄筋コンクリート造!AH8</f>
        <v/>
      </c>
      <c r="Y17" s="45" t="n"/>
      <c r="Z17" s="45" t="n"/>
      <c r="AA17" s="45">
        <f>鉄筋コンクリート造!AL8</f>
        <v/>
      </c>
      <c r="AB17" s="45" t="n"/>
      <c r="AC17" s="45" t="n"/>
      <c r="AD17" s="45">
        <f>鉄筋コンクリート造!AP8</f>
        <v/>
      </c>
      <c r="AE17" s="45" t="n"/>
      <c r="AF17" s="45" t="n"/>
      <c r="AG17" s="45">
        <f>鉄筋コンクリート造!AT8</f>
        <v/>
      </c>
      <c r="AH17" s="45" t="n"/>
      <c r="AI17" s="45" t="n"/>
      <c r="AJ17" s="45">
        <f>鉄筋コンクリート造!AX8</f>
        <v/>
      </c>
      <c r="AK17" s="45" t="n"/>
      <c r="AL17" s="45" t="n"/>
      <c r="AM17" s="45">
        <f>鉄筋コンクリート造!BB8</f>
        <v/>
      </c>
      <c r="AN17" s="45" t="n"/>
      <c r="AO17" s="45" t="n"/>
      <c r="AP17" s="45">
        <f>鉄筋コンクリート造!BF8</f>
        <v/>
      </c>
      <c r="AQ17" s="45" t="n"/>
      <c r="AR17" s="45" t="n"/>
      <c r="AS17" s="45">
        <f>鉄筋コンクリート造!BJ8</f>
        <v/>
      </c>
    </row>
    <row r="18">
      <c r="B18" s="2" t="inlineStr">
        <is>
          <t>学校の校舎</t>
        </is>
      </c>
      <c r="C18" s="45">
        <f>鉄筋コンクリート造!F9</f>
        <v/>
      </c>
      <c r="F18" s="45">
        <f>鉄筋コンクリート造!J9</f>
        <v/>
      </c>
      <c r="G18" s="45" t="n"/>
      <c r="H18" s="45" t="n"/>
      <c r="I18" s="45">
        <f>鉄筋コンクリート造!N9</f>
        <v/>
      </c>
      <c r="J18" s="45" t="n"/>
      <c r="K18" s="45" t="n"/>
      <c r="L18" s="45">
        <f>鉄筋コンクリート造!R9</f>
        <v/>
      </c>
      <c r="M18" s="45" t="n"/>
      <c r="N18" s="45" t="n"/>
      <c r="O18" s="45">
        <f>鉄筋コンクリート造!V9</f>
        <v/>
      </c>
      <c r="P18" s="45" t="n"/>
      <c r="Q18" s="45" t="n"/>
      <c r="R18" s="45">
        <f>鉄筋コンクリート造!Z9</f>
        <v/>
      </c>
      <c r="S18" s="45" t="n"/>
      <c r="T18" s="45" t="n"/>
      <c r="U18" s="45">
        <f>鉄筋コンクリート造!AD9</f>
        <v/>
      </c>
      <c r="V18" s="45" t="n"/>
      <c r="W18" s="45" t="n"/>
      <c r="X18" s="45">
        <f>鉄筋コンクリート造!AH9</f>
        <v/>
      </c>
      <c r="Y18" s="45" t="n"/>
      <c r="Z18" s="45" t="n"/>
      <c r="AA18" s="45">
        <f>鉄筋コンクリート造!AL9</f>
        <v/>
      </c>
      <c r="AB18" s="45" t="n"/>
      <c r="AC18" s="45" t="n"/>
      <c r="AD18" s="45">
        <f>鉄筋コンクリート造!AP9</f>
        <v/>
      </c>
      <c r="AE18" s="45" t="n"/>
      <c r="AF18" s="45" t="n"/>
      <c r="AG18" s="45">
        <f>鉄筋コンクリート造!AT9</f>
        <v/>
      </c>
      <c r="AH18" s="45" t="n"/>
      <c r="AI18" s="45" t="n"/>
      <c r="AJ18" s="45">
        <f>鉄筋コンクリート造!AX9</f>
        <v/>
      </c>
      <c r="AK18" s="45" t="n"/>
      <c r="AL18" s="45" t="n"/>
      <c r="AM18" s="45">
        <f>鉄筋コンクリート造!BB9</f>
        <v/>
      </c>
      <c r="AN18" s="45" t="n"/>
      <c r="AO18" s="45" t="n"/>
      <c r="AP18" s="45">
        <f>鉄筋コンクリート造!BF9</f>
        <v/>
      </c>
      <c r="AQ18" s="45" t="n"/>
      <c r="AR18" s="45" t="n"/>
      <c r="AS18" s="45">
        <f>鉄筋コンクリート造!BJ9</f>
        <v/>
      </c>
    </row>
    <row r="19">
      <c r="B19" s="2" t="inlineStr">
        <is>
          <t>病院・診療所</t>
        </is>
      </c>
      <c r="C19" s="45">
        <f>鉄筋コンクリート造!F10</f>
        <v/>
      </c>
      <c r="F19" s="45">
        <f>鉄筋コンクリート造!J10</f>
        <v/>
      </c>
      <c r="G19" s="45" t="n"/>
      <c r="H19" s="45" t="n"/>
      <c r="I19" s="45">
        <f>鉄筋コンクリート造!N10</f>
        <v/>
      </c>
      <c r="J19" s="45" t="n"/>
      <c r="K19" s="45" t="n"/>
      <c r="L19" s="45">
        <f>鉄筋コンクリート造!R10</f>
        <v/>
      </c>
      <c r="M19" s="45" t="n"/>
      <c r="N19" s="45" t="n"/>
      <c r="O19" s="45">
        <f>鉄筋コンクリート造!V10</f>
        <v/>
      </c>
      <c r="P19" s="45" t="n"/>
      <c r="Q19" s="45" t="n"/>
      <c r="R19" s="45">
        <f>鉄筋コンクリート造!Z10</f>
        <v/>
      </c>
      <c r="S19" s="45" t="n"/>
      <c r="T19" s="45" t="n"/>
      <c r="U19" s="45">
        <f>鉄筋コンクリート造!AD10</f>
        <v/>
      </c>
      <c r="V19" s="45" t="n"/>
      <c r="W19" s="45" t="n"/>
      <c r="X19" s="45">
        <f>鉄筋コンクリート造!AH10</f>
        <v/>
      </c>
      <c r="Y19" s="45" t="n"/>
      <c r="Z19" s="45" t="n"/>
      <c r="AA19" s="45">
        <f>鉄筋コンクリート造!AL10</f>
        <v/>
      </c>
      <c r="AB19" s="45" t="n"/>
      <c r="AC19" s="45" t="n"/>
      <c r="AD19" s="45">
        <f>鉄筋コンクリート造!AP10</f>
        <v/>
      </c>
      <c r="AE19" s="45" t="n"/>
      <c r="AF19" s="45" t="n"/>
      <c r="AG19" s="45">
        <f>鉄筋コンクリート造!AT10</f>
        <v/>
      </c>
      <c r="AH19" s="45" t="n"/>
      <c r="AI19" s="45" t="n"/>
      <c r="AJ19" s="45">
        <f>鉄筋コンクリート造!AX10</f>
        <v/>
      </c>
      <c r="AK19" s="45" t="n"/>
      <c r="AL19" s="45" t="n"/>
      <c r="AM19" s="45">
        <f>鉄筋コンクリート造!BB10</f>
        <v/>
      </c>
      <c r="AN19" s="45" t="n"/>
      <c r="AO19" s="45" t="n"/>
      <c r="AP19" s="45">
        <f>鉄筋コンクリート造!BF10</f>
        <v/>
      </c>
      <c r="AQ19" s="45" t="n"/>
      <c r="AR19" s="45" t="n"/>
      <c r="AS19" s="45">
        <f>鉄筋コンクリート造!BJ10</f>
        <v/>
      </c>
    </row>
    <row r="20">
      <c r="B20" s="2" t="inlineStr">
        <is>
          <t>その他</t>
        </is>
      </c>
      <c r="C20" s="45">
        <f>鉄筋コンクリート造!F11</f>
        <v/>
      </c>
      <c r="F20" s="45">
        <f>鉄筋コンクリート造!J11</f>
        <v/>
      </c>
      <c r="G20" s="45" t="n"/>
      <c r="H20" s="45" t="n"/>
      <c r="I20" s="45">
        <f>鉄筋コンクリート造!N11</f>
        <v/>
      </c>
      <c r="J20" s="45" t="n"/>
      <c r="K20" s="45" t="n"/>
      <c r="L20" s="45">
        <f>鉄筋コンクリート造!R11</f>
        <v/>
      </c>
      <c r="M20" s="45" t="n"/>
      <c r="N20" s="45" t="n"/>
      <c r="O20" s="45">
        <f>鉄筋コンクリート造!V11</f>
        <v/>
      </c>
      <c r="P20" s="45" t="n"/>
      <c r="Q20" s="45" t="n"/>
      <c r="R20" s="45">
        <f>鉄筋コンクリート造!Z11</f>
        <v/>
      </c>
      <c r="S20" s="45" t="n"/>
      <c r="T20" s="45" t="n"/>
      <c r="U20" s="45">
        <f>鉄筋コンクリート造!AD11</f>
        <v/>
      </c>
      <c r="V20" s="45" t="n"/>
      <c r="W20" s="45" t="n"/>
      <c r="X20" s="45">
        <f>鉄筋コンクリート造!AH11</f>
        <v/>
      </c>
      <c r="Y20" s="45" t="n"/>
      <c r="Z20" s="45" t="n"/>
      <c r="AA20" s="45">
        <f>鉄筋コンクリート造!AL11</f>
        <v/>
      </c>
      <c r="AB20" s="45" t="n"/>
      <c r="AC20" s="45" t="n"/>
      <c r="AD20" s="45">
        <f>鉄筋コンクリート造!AP11</f>
        <v/>
      </c>
      <c r="AE20" s="45" t="n"/>
      <c r="AF20" s="45" t="n"/>
      <c r="AG20" s="45">
        <f>鉄筋コンクリート造!AT11</f>
        <v/>
      </c>
      <c r="AH20" s="45" t="n"/>
      <c r="AI20" s="45" t="n"/>
      <c r="AJ20" s="45">
        <f>鉄筋コンクリート造!AX11</f>
        <v/>
      </c>
      <c r="AK20" s="45" t="n"/>
      <c r="AL20" s="45" t="n"/>
      <c r="AM20" s="45">
        <f>鉄筋コンクリート造!BB11</f>
        <v/>
      </c>
      <c r="AN20" s="45" t="n"/>
      <c r="AO20" s="45" t="n"/>
      <c r="AP20" s="45">
        <f>鉄筋コンクリート造!BF11</f>
        <v/>
      </c>
      <c r="AQ20" s="45" t="n"/>
      <c r="AR20" s="45" t="n"/>
      <c r="AS20" s="45">
        <f>鉄筋コンクリート造!BJ11</f>
        <v/>
      </c>
    </row>
    <row r="22" ht="19.8" customHeight="1">
      <c r="A22" s="1" t="inlineStr">
        <is>
          <t>鉄骨造</t>
        </is>
      </c>
    </row>
    <row r="23" customFormat="1" s="19">
      <c r="C23" s="19" t="n">
        <v>2015</v>
      </c>
      <c r="D23" s="22" t="n"/>
      <c r="E23" s="19" t="inlineStr">
        <is>
          <t>R4.1</t>
        </is>
      </c>
      <c r="F23" s="19" t="inlineStr">
        <is>
          <t>R4.2</t>
        </is>
      </c>
      <c r="G23" s="19" t="inlineStr">
        <is>
          <t>R4.3</t>
        </is>
      </c>
      <c r="H23" s="19" t="inlineStr">
        <is>
          <t>R4.4</t>
        </is>
      </c>
      <c r="I23" s="19" t="inlineStr">
        <is>
          <t>R4.5</t>
        </is>
      </c>
      <c r="J23" s="19" t="inlineStr">
        <is>
          <t>R4.6</t>
        </is>
      </c>
      <c r="K23" s="19" t="inlineStr">
        <is>
          <t>R4.7</t>
        </is>
      </c>
      <c r="L23" s="19" t="inlineStr">
        <is>
          <t>R4.8</t>
        </is>
      </c>
      <c r="M23" s="19" t="inlineStr">
        <is>
          <t>R4.9</t>
        </is>
      </c>
      <c r="N23" s="19" t="inlineStr">
        <is>
          <t>R4.10</t>
        </is>
      </c>
      <c r="O23" s="19" t="inlineStr">
        <is>
          <t>R4.11</t>
        </is>
      </c>
      <c r="P23" s="19" t="inlineStr">
        <is>
          <t>R4.12</t>
        </is>
      </c>
      <c r="Q23" s="19" t="inlineStr">
        <is>
          <t>R5.1</t>
        </is>
      </c>
      <c r="R23" s="19" t="inlineStr">
        <is>
          <t>R5.2</t>
        </is>
      </c>
      <c r="S23" s="19" t="inlineStr">
        <is>
          <t>R5.3</t>
        </is>
      </c>
      <c r="T23" s="19" t="inlineStr">
        <is>
          <t>R5.4</t>
        </is>
      </c>
      <c r="U23" s="19" t="inlineStr">
        <is>
          <t>R5.5</t>
        </is>
      </c>
      <c r="V23" s="19" t="inlineStr">
        <is>
          <t>R5.6</t>
        </is>
      </c>
      <c r="W23" s="19" t="inlineStr">
        <is>
          <t>R5.7</t>
        </is>
      </c>
      <c r="X23" s="19" t="inlineStr">
        <is>
          <t>R5.8</t>
        </is>
      </c>
      <c r="Y23" s="19" t="inlineStr">
        <is>
          <t>R5.9</t>
        </is>
      </c>
      <c r="Z23" s="19" t="inlineStr">
        <is>
          <t>R5.10</t>
        </is>
      </c>
      <c r="AA23" s="19" t="inlineStr">
        <is>
          <t>R5.11</t>
        </is>
      </c>
      <c r="AB23" s="19" t="inlineStr">
        <is>
          <t>R5.12</t>
        </is>
      </c>
      <c r="AC23" s="19" t="inlineStr">
        <is>
          <t>R6.1</t>
        </is>
      </c>
      <c r="AD23" s="19" t="inlineStr">
        <is>
          <t>R6.2</t>
        </is>
      </c>
      <c r="AE23" s="19" t="inlineStr">
        <is>
          <t>R6.3</t>
        </is>
      </c>
      <c r="AF23" s="19" t="inlineStr">
        <is>
          <t>R6.4</t>
        </is>
      </c>
      <c r="AG23" s="19" t="inlineStr">
        <is>
          <t>R6.5</t>
        </is>
      </c>
      <c r="AH23" s="19" t="inlineStr">
        <is>
          <t>R6.6</t>
        </is>
      </c>
      <c r="AI23" s="19" t="inlineStr">
        <is>
          <t>R6.7</t>
        </is>
      </c>
      <c r="AJ23" s="19" t="inlineStr">
        <is>
          <t>R6.8</t>
        </is>
      </c>
      <c r="AK23" s="19" t="inlineStr">
        <is>
          <t>R6.9</t>
        </is>
      </c>
      <c r="AL23" s="19" t="inlineStr">
        <is>
          <t>R6.10</t>
        </is>
      </c>
      <c r="AM23" s="19" t="inlineStr">
        <is>
          <t>R6.11</t>
        </is>
      </c>
      <c r="AN23" s="19" t="inlineStr">
        <is>
          <t>R6.12</t>
        </is>
      </c>
      <c r="AO23" s="19" t="inlineStr">
        <is>
          <t>R7.1</t>
        </is>
      </c>
      <c r="AP23" s="19" t="inlineStr">
        <is>
          <t>R7.2</t>
        </is>
      </c>
      <c r="AQ23" s="19" t="inlineStr">
        <is>
          <t>R7.3</t>
        </is>
      </c>
      <c r="AR23" s="19" t="inlineStr">
        <is>
          <t>R7.4</t>
        </is>
      </c>
      <c r="AS23" s="19" t="inlineStr">
        <is>
          <t>R7.5</t>
        </is>
      </c>
    </row>
    <row r="24">
      <c r="B24" s="2" t="inlineStr">
        <is>
          <t>事務所</t>
        </is>
      </c>
      <c r="C24" s="45">
        <f>鉄骨造!F5</f>
        <v/>
      </c>
      <c r="E24" s="45">
        <f>鉄骨造!J5</f>
        <v/>
      </c>
      <c r="F24" s="45">
        <f>鉄骨造!N5</f>
        <v/>
      </c>
      <c r="G24" s="45">
        <f>鉄骨造!R5</f>
        <v/>
      </c>
      <c r="H24" s="45">
        <f>鉄骨造!V5</f>
        <v/>
      </c>
      <c r="I24" s="45">
        <f>鉄骨造!Z5</f>
        <v/>
      </c>
      <c r="J24" s="45">
        <f>鉄骨造!AD5</f>
        <v/>
      </c>
      <c r="K24" s="45">
        <f>鉄骨造!AH5</f>
        <v/>
      </c>
      <c r="L24" s="45">
        <f>鉄骨造!AL5</f>
        <v/>
      </c>
      <c r="M24" s="45">
        <f>鉄骨造!AP5</f>
        <v/>
      </c>
      <c r="N24" s="45">
        <f>鉄骨造!AT5</f>
        <v/>
      </c>
      <c r="O24" s="45">
        <f>鉄骨造!AX5</f>
        <v/>
      </c>
      <c r="P24" s="45">
        <f>鉄骨造!BB5</f>
        <v/>
      </c>
      <c r="Q24" s="45">
        <f>鉄骨造!BF5</f>
        <v/>
      </c>
      <c r="R24" s="45">
        <f>鉄骨造!BJ5</f>
        <v/>
      </c>
      <c r="S24" s="45">
        <f>鉄骨造!BN5</f>
        <v/>
      </c>
      <c r="T24" s="45">
        <f>鉄骨造!BR5</f>
        <v/>
      </c>
      <c r="U24" s="45">
        <f>鉄骨造!BV5</f>
        <v/>
      </c>
      <c r="V24" s="45">
        <f>鉄骨造!BZ5</f>
        <v/>
      </c>
      <c r="W24" s="45">
        <f>鉄骨造!CD5</f>
        <v/>
      </c>
      <c r="X24" s="45">
        <f>鉄骨造!CH5</f>
        <v/>
      </c>
      <c r="Y24" s="45">
        <f>鉄骨造!CL5</f>
        <v/>
      </c>
      <c r="Z24" s="45">
        <f>鉄骨造!CP5</f>
        <v/>
      </c>
      <c r="AA24" s="45">
        <f>鉄骨造!CT5</f>
        <v/>
      </c>
      <c r="AB24" s="45">
        <f>鉄骨造!CX5</f>
        <v/>
      </c>
      <c r="AC24" s="45">
        <f>鉄骨造!DB5</f>
        <v/>
      </c>
      <c r="AD24" s="45">
        <f>鉄骨造!DF5</f>
        <v/>
      </c>
      <c r="AE24" s="45">
        <f>鉄骨造!DJ5</f>
        <v/>
      </c>
      <c r="AF24" s="45">
        <f>鉄骨造!DN5</f>
        <v/>
      </c>
      <c r="AG24" s="45">
        <f>鉄骨造!DR5</f>
        <v/>
      </c>
      <c r="AH24" s="45">
        <f>鉄骨造!DV5</f>
        <v/>
      </c>
      <c r="AI24" s="45">
        <f>鉄骨造!DZ5</f>
        <v/>
      </c>
      <c r="AJ24" s="45">
        <f>鉄骨造!ED5</f>
        <v/>
      </c>
      <c r="AK24" s="45">
        <f>鉄骨造!EH5</f>
        <v/>
      </c>
      <c r="AL24" s="45">
        <f>鉄骨造!EL5</f>
        <v/>
      </c>
      <c r="AM24" s="45">
        <f>鉄骨造!EP5</f>
        <v/>
      </c>
      <c r="AN24" s="45">
        <f>鉄骨造!ET5</f>
        <v/>
      </c>
      <c r="AO24" s="45">
        <f>鉄骨造!EX5</f>
        <v/>
      </c>
      <c r="AP24" s="45">
        <f>鉄骨造!FB5</f>
        <v/>
      </c>
      <c r="AQ24" s="45">
        <f>鉄骨造!FF5</f>
        <v/>
      </c>
      <c r="AR24" s="45">
        <f>鉄骨造!FJ18</f>
        <v/>
      </c>
      <c r="AS24" s="45">
        <f>鉄骨造!FN5</f>
        <v/>
      </c>
      <c r="AT24" s="47" t="n"/>
      <c r="AU24" s="47" t="n"/>
      <c r="AV24" s="47" t="n"/>
    </row>
    <row r="25" customFormat="1" s="23">
      <c r="B25" s="24" t="inlineStr">
        <is>
          <t>指数化</t>
        </is>
      </c>
      <c r="C25" s="46" t="n">
        <v>100</v>
      </c>
      <c r="D25" s="28" t="inlineStr">
        <is>
          <t>建築物着工統計算出指数(S造/全体)</t>
        </is>
      </c>
      <c r="E25" s="46">
        <f>E24/$C$24*100</f>
        <v/>
      </c>
      <c r="F25" s="46">
        <f>F24/$C$24*100</f>
        <v/>
      </c>
      <c r="G25" s="46">
        <f>G24/$C$24*100</f>
        <v/>
      </c>
      <c r="H25" s="46">
        <f>H24/$C$24*100</f>
        <v/>
      </c>
      <c r="I25" s="46">
        <f>I24/$C$24*100</f>
        <v/>
      </c>
      <c r="J25" s="46">
        <f>J24/$C$24*100</f>
        <v/>
      </c>
      <c r="K25" s="46">
        <f>K24/$C$24*100</f>
        <v/>
      </c>
      <c r="L25" s="46">
        <f>L24/$C$24*100</f>
        <v/>
      </c>
      <c r="M25" s="46">
        <f>M24/$C$24*100</f>
        <v/>
      </c>
      <c r="N25" s="46">
        <f>N24/$C$24*100</f>
        <v/>
      </c>
      <c r="O25" s="46">
        <f>O24/$C$24*100</f>
        <v/>
      </c>
      <c r="P25" s="46">
        <f>P24/$C$24*100</f>
        <v/>
      </c>
      <c r="Q25" s="46">
        <f>Q24/$C$24*100</f>
        <v/>
      </c>
      <c r="R25" s="46">
        <f>R24/$C$24*100</f>
        <v/>
      </c>
      <c r="S25" s="46">
        <f>S24/$C$24*100</f>
        <v/>
      </c>
      <c r="T25" s="46">
        <f>T24/$C$24*100</f>
        <v/>
      </c>
      <c r="U25" s="46">
        <f>U24/$C$24*100</f>
        <v/>
      </c>
      <c r="V25" s="46">
        <f>V24/$C$24*100</f>
        <v/>
      </c>
      <c r="W25" s="46">
        <f>W24/$C$24*100</f>
        <v/>
      </c>
      <c r="X25" s="46">
        <f>X24/$C$24*100</f>
        <v/>
      </c>
      <c r="Y25" s="46">
        <f>Y24/$C$24*100</f>
        <v/>
      </c>
      <c r="Z25" s="46">
        <f>Z24/$C$24*100</f>
        <v/>
      </c>
      <c r="AA25" s="46">
        <f>AA24/$C$24*100</f>
        <v/>
      </c>
      <c r="AB25" s="46">
        <f>AB24/$C$24*100</f>
        <v/>
      </c>
      <c r="AC25" s="46">
        <f>AC24/$C$24*100</f>
        <v/>
      </c>
      <c r="AD25" s="46">
        <f>AD24/$C$24*100</f>
        <v/>
      </c>
      <c r="AE25" s="46">
        <f>AE24/$C$24*100</f>
        <v/>
      </c>
      <c r="AF25" s="46">
        <f>AF24/$C$24*100</f>
        <v/>
      </c>
      <c r="AG25" s="46">
        <f>AG24/$C$24*100</f>
        <v/>
      </c>
      <c r="AH25" s="46">
        <f>AH24/$C$24*100</f>
        <v/>
      </c>
      <c r="AI25" s="46">
        <f>AI24/$C$24*100</f>
        <v/>
      </c>
      <c r="AJ25" s="46">
        <f>AJ24/$C$24*100</f>
        <v/>
      </c>
      <c r="AK25" s="46">
        <f>AK24/$C$24*100</f>
        <v/>
      </c>
      <c r="AL25" s="46">
        <f>AL24/$C$24*100</f>
        <v/>
      </c>
      <c r="AM25" s="46">
        <f>AM24/$C$24*100</f>
        <v/>
      </c>
      <c r="AN25" s="46">
        <f>AN24/$C$24*100</f>
        <v/>
      </c>
      <c r="AO25" s="46">
        <f>AO24/$C$24*100</f>
        <v/>
      </c>
      <c r="AP25" s="46">
        <f>AP24/$C$24*100</f>
        <v/>
      </c>
      <c r="AQ25" s="46">
        <f>AQ24/$C$24*100</f>
        <v/>
      </c>
      <c r="AR25" s="46">
        <f>AR24/$C$24*100</f>
        <v/>
      </c>
      <c r="AS25" s="46">
        <f>AS24/$C$24*100</f>
        <v/>
      </c>
      <c r="AT25" s="46" t="n"/>
      <c r="AU25" s="46" t="n"/>
      <c r="AV25" s="46" t="n"/>
    </row>
    <row r="26">
      <c r="B26" s="2" t="inlineStr">
        <is>
          <t>店舗</t>
        </is>
      </c>
      <c r="C26" s="45">
        <f>鉄骨造!F6</f>
        <v/>
      </c>
      <c r="E26" s="45">
        <f>鉄骨造!J6</f>
        <v/>
      </c>
      <c r="F26" s="45">
        <f>鉄骨造!N6</f>
        <v/>
      </c>
      <c r="G26" s="45">
        <f>鉄骨造!R6</f>
        <v/>
      </c>
      <c r="H26" s="45">
        <f>鉄骨造!V6</f>
        <v/>
      </c>
      <c r="I26" s="45">
        <f>鉄骨造!Z6</f>
        <v/>
      </c>
      <c r="J26" s="45">
        <f>鉄骨造!AD6</f>
        <v/>
      </c>
      <c r="K26" s="45">
        <f>鉄骨造!AH6</f>
        <v/>
      </c>
      <c r="L26" s="45">
        <f>鉄骨造!AL6</f>
        <v/>
      </c>
      <c r="M26" s="45">
        <f>鉄骨造!AP6</f>
        <v/>
      </c>
      <c r="N26" s="45">
        <f>鉄骨造!AT6</f>
        <v/>
      </c>
      <c r="O26" s="45">
        <f>鉄骨造!AX6</f>
        <v/>
      </c>
      <c r="P26" s="45">
        <f>鉄骨造!BB6</f>
        <v/>
      </c>
      <c r="Q26" s="45">
        <f>鉄骨造!BF6</f>
        <v/>
      </c>
      <c r="R26" s="45">
        <f>鉄骨造!BJ6</f>
        <v/>
      </c>
      <c r="S26" s="45">
        <f>鉄骨造!BN6</f>
        <v/>
      </c>
      <c r="T26" s="45">
        <f>鉄骨造!BR6</f>
        <v/>
      </c>
      <c r="U26" s="45">
        <f>鉄骨造!BV6</f>
        <v/>
      </c>
      <c r="V26" s="45">
        <f>鉄骨造!BZ6</f>
        <v/>
      </c>
      <c r="W26" s="45">
        <f>鉄骨造!CD6</f>
        <v/>
      </c>
      <c r="X26" s="45">
        <f>鉄骨造!CH6</f>
        <v/>
      </c>
      <c r="Y26" s="45">
        <f>鉄骨造!CL6</f>
        <v/>
      </c>
      <c r="Z26" s="45">
        <f>鉄骨造!CP6</f>
        <v/>
      </c>
      <c r="AA26" s="45">
        <f>鉄骨造!CT6</f>
        <v/>
      </c>
      <c r="AB26" s="45">
        <f>鉄骨造!CX6</f>
        <v/>
      </c>
      <c r="AC26" s="45">
        <f>鉄骨造!DB6</f>
        <v/>
      </c>
      <c r="AD26" s="45">
        <f>鉄骨造!DF6</f>
        <v/>
      </c>
      <c r="AE26" s="45">
        <f>鉄骨造!DJ6</f>
        <v/>
      </c>
      <c r="AF26" s="45">
        <f>鉄骨造!DN6</f>
        <v/>
      </c>
      <c r="AG26" s="45">
        <f>鉄骨造!DR6</f>
        <v/>
      </c>
      <c r="AH26" s="45">
        <f>鉄骨造!DV6</f>
        <v/>
      </c>
      <c r="AI26" s="45">
        <f>鉄骨造!DZ6</f>
        <v/>
      </c>
      <c r="AJ26" s="45">
        <f>鉄骨造!ED6</f>
        <v/>
      </c>
      <c r="AK26" s="45">
        <f>鉄骨造!EH6</f>
        <v/>
      </c>
      <c r="AL26" s="45">
        <f>鉄骨造!EL6</f>
        <v/>
      </c>
      <c r="AM26" s="45">
        <f>鉄骨造!EP6</f>
        <v/>
      </c>
      <c r="AN26" s="45">
        <f>鉄骨造!ET6</f>
        <v/>
      </c>
      <c r="AO26" s="45">
        <f>鉄骨造!EX6</f>
        <v/>
      </c>
      <c r="AP26" s="45">
        <f>鉄骨造!FB6</f>
        <v/>
      </c>
      <c r="AQ26" s="45">
        <f>鉄骨造!FF6</f>
        <v/>
      </c>
      <c r="AR26" s="45">
        <f>鉄骨造!FN6</f>
        <v/>
      </c>
      <c r="AS26" s="45">
        <f>鉄骨造!FN6</f>
        <v/>
      </c>
      <c r="AT26" s="47" t="n"/>
      <c r="AU26" s="47" t="n"/>
      <c r="AV26" s="47" t="n"/>
    </row>
    <row r="27">
      <c r="B27" s="2" t="inlineStr">
        <is>
          <t>工場及び作業場</t>
        </is>
      </c>
      <c r="C27" s="45">
        <f>鉄骨造!F7</f>
        <v/>
      </c>
      <c r="E27" s="45">
        <f>鉄骨造!J7</f>
        <v/>
      </c>
      <c r="F27" s="45">
        <f>鉄骨造!N7</f>
        <v/>
      </c>
      <c r="G27" s="45">
        <f>鉄骨造!R7</f>
        <v/>
      </c>
      <c r="H27" s="45">
        <f>鉄骨造!V7</f>
        <v/>
      </c>
      <c r="I27" s="45">
        <f>鉄骨造!Z7</f>
        <v/>
      </c>
      <c r="J27" s="45">
        <f>鉄骨造!AD7</f>
        <v/>
      </c>
      <c r="K27" s="45">
        <f>鉄骨造!AH7</f>
        <v/>
      </c>
      <c r="L27" s="45">
        <f>鉄骨造!AL7</f>
        <v/>
      </c>
      <c r="M27" s="45">
        <f>鉄骨造!AP7</f>
        <v/>
      </c>
      <c r="N27" s="45">
        <f>鉄骨造!AT7</f>
        <v/>
      </c>
      <c r="O27" s="45">
        <f>鉄骨造!AX7</f>
        <v/>
      </c>
      <c r="P27" s="45">
        <f>鉄骨造!BB7</f>
        <v/>
      </c>
      <c r="Q27" s="45">
        <f>鉄骨造!BF7</f>
        <v/>
      </c>
      <c r="R27" s="45">
        <f>鉄骨造!BJ7</f>
        <v/>
      </c>
      <c r="S27" s="45">
        <f>鉄骨造!BN7</f>
        <v/>
      </c>
      <c r="T27" s="45">
        <f>鉄骨造!BR7</f>
        <v/>
      </c>
      <c r="U27" s="45">
        <f>鉄骨造!BV7</f>
        <v/>
      </c>
      <c r="V27" s="45">
        <f>鉄骨造!BZ7</f>
        <v/>
      </c>
      <c r="W27" s="45">
        <f>鉄骨造!CD7</f>
        <v/>
      </c>
      <c r="X27" s="45">
        <f>鉄骨造!CH7</f>
        <v/>
      </c>
      <c r="Y27" s="45">
        <f>鉄骨造!CL7</f>
        <v/>
      </c>
      <c r="Z27" s="45">
        <f>鉄骨造!CP7</f>
        <v/>
      </c>
      <c r="AA27" s="45">
        <f>鉄骨造!CT7</f>
        <v/>
      </c>
      <c r="AB27" s="45">
        <f>鉄骨造!CX7</f>
        <v/>
      </c>
      <c r="AC27" s="45">
        <f>鉄骨造!DB7</f>
        <v/>
      </c>
      <c r="AD27" s="45">
        <f>鉄骨造!DF7</f>
        <v/>
      </c>
      <c r="AE27" s="45">
        <f>鉄骨造!DJ7</f>
        <v/>
      </c>
      <c r="AF27" s="45">
        <f>鉄骨造!DN7</f>
        <v/>
      </c>
      <c r="AG27" s="45">
        <f>鉄骨造!DR7</f>
        <v/>
      </c>
      <c r="AH27" s="45">
        <f>鉄骨造!DV7</f>
        <v/>
      </c>
      <c r="AI27" s="45">
        <f>鉄骨造!DZ7</f>
        <v/>
      </c>
      <c r="AJ27" s="45">
        <f>鉄骨造!ED7</f>
        <v/>
      </c>
      <c r="AK27" s="45">
        <f>鉄骨造!EH7</f>
        <v/>
      </c>
      <c r="AL27" s="45">
        <f>鉄骨造!EL7</f>
        <v/>
      </c>
      <c r="AM27" s="45">
        <f>鉄骨造!EP7</f>
        <v/>
      </c>
      <c r="AN27" s="45">
        <f>鉄骨造!ET7</f>
        <v/>
      </c>
      <c r="AO27" s="45">
        <f>鉄骨造!EX7</f>
        <v/>
      </c>
      <c r="AP27" s="45">
        <f>鉄骨造!FB7</f>
        <v/>
      </c>
      <c r="AQ27" s="45">
        <f>鉄骨造!FF7</f>
        <v/>
      </c>
      <c r="AR27" s="45">
        <f>鉄骨造!FN7</f>
        <v/>
      </c>
      <c r="AS27" s="45">
        <f>鉄骨造!FN7</f>
        <v/>
      </c>
      <c r="AT27" s="47" t="n"/>
      <c r="AU27" s="47" t="n"/>
      <c r="AV27" s="47" t="n"/>
    </row>
    <row r="28">
      <c r="B28" s="2" t="inlineStr">
        <is>
          <t>倉庫</t>
        </is>
      </c>
      <c r="C28" s="45">
        <f>鉄骨造!F8</f>
        <v/>
      </c>
      <c r="E28" s="45">
        <f>鉄骨造!J8</f>
        <v/>
      </c>
      <c r="F28" s="45">
        <f>鉄骨造!N8</f>
        <v/>
      </c>
      <c r="G28" s="45">
        <f>鉄骨造!R8</f>
        <v/>
      </c>
      <c r="H28" s="45">
        <f>鉄骨造!V8</f>
        <v/>
      </c>
      <c r="I28" s="45">
        <f>鉄骨造!Z8</f>
        <v/>
      </c>
      <c r="J28" s="45">
        <f>鉄骨造!AD8</f>
        <v/>
      </c>
      <c r="K28" s="45">
        <f>鉄骨造!AH8</f>
        <v/>
      </c>
      <c r="L28" s="45">
        <f>鉄骨造!AL8</f>
        <v/>
      </c>
      <c r="M28" s="45">
        <f>鉄骨造!AP8</f>
        <v/>
      </c>
      <c r="N28" s="45">
        <f>鉄骨造!AT8</f>
        <v/>
      </c>
      <c r="O28" s="45">
        <f>鉄骨造!AX8</f>
        <v/>
      </c>
      <c r="P28" s="45">
        <f>鉄骨造!BB8</f>
        <v/>
      </c>
      <c r="Q28" s="45">
        <f>鉄骨造!BF8</f>
        <v/>
      </c>
      <c r="R28" s="45">
        <f>鉄骨造!BJ8</f>
        <v/>
      </c>
      <c r="S28" s="45">
        <f>鉄骨造!BN8</f>
        <v/>
      </c>
      <c r="T28" s="45">
        <f>鉄骨造!BR8</f>
        <v/>
      </c>
      <c r="U28" s="45">
        <f>鉄骨造!BV8</f>
        <v/>
      </c>
      <c r="V28" s="45">
        <f>鉄骨造!BZ8</f>
        <v/>
      </c>
      <c r="W28" s="45">
        <f>鉄骨造!CD8</f>
        <v/>
      </c>
      <c r="X28" s="45">
        <f>鉄骨造!CH8</f>
        <v/>
      </c>
      <c r="Y28" s="45">
        <f>鉄骨造!CL8</f>
        <v/>
      </c>
      <c r="Z28" s="45">
        <f>鉄骨造!CP8</f>
        <v/>
      </c>
      <c r="AA28" s="45">
        <f>鉄骨造!CT8</f>
        <v/>
      </c>
      <c r="AB28" s="45">
        <f>鉄骨造!CX8</f>
        <v/>
      </c>
      <c r="AC28" s="45">
        <f>鉄骨造!DB8</f>
        <v/>
      </c>
      <c r="AD28" s="45">
        <f>鉄骨造!DF8</f>
        <v/>
      </c>
      <c r="AE28" s="45">
        <f>鉄骨造!DJ8</f>
        <v/>
      </c>
      <c r="AF28" s="45">
        <f>鉄骨造!DN8</f>
        <v/>
      </c>
      <c r="AG28" s="45">
        <f>鉄骨造!DR8</f>
        <v/>
      </c>
      <c r="AH28" s="45">
        <f>鉄骨造!DV8</f>
        <v/>
      </c>
      <c r="AI28" s="45">
        <f>鉄骨造!DZ8</f>
        <v/>
      </c>
      <c r="AJ28" s="45">
        <f>鉄骨造!ED8</f>
        <v/>
      </c>
      <c r="AK28" s="45">
        <f>鉄骨造!EH8</f>
        <v/>
      </c>
      <c r="AL28" s="45">
        <f>鉄骨造!EL8</f>
        <v/>
      </c>
      <c r="AM28" s="45">
        <f>鉄骨造!EP8</f>
        <v/>
      </c>
      <c r="AN28" s="45">
        <f>鉄骨造!ET8</f>
        <v/>
      </c>
      <c r="AO28" s="45">
        <f>鉄骨造!EX8</f>
        <v/>
      </c>
      <c r="AP28" s="45">
        <f>鉄骨造!FB8</f>
        <v/>
      </c>
      <c r="AQ28" s="45">
        <f>鉄骨造!FF8</f>
        <v/>
      </c>
      <c r="AR28" s="45">
        <f>鉄骨造!FN8</f>
        <v/>
      </c>
      <c r="AS28" s="45">
        <f>鉄骨造!FN8</f>
        <v/>
      </c>
      <c r="AT28" s="47" t="n"/>
      <c r="AU28" s="47" t="n"/>
      <c r="AV28" s="47" t="n"/>
    </row>
    <row r="29">
      <c r="B29" s="2" t="inlineStr">
        <is>
          <t>学校の校舎</t>
        </is>
      </c>
      <c r="C29" s="45">
        <f>鉄骨造!F9</f>
        <v/>
      </c>
      <c r="E29" s="45">
        <f>鉄骨造!J9</f>
        <v/>
      </c>
      <c r="F29" s="45">
        <f>鉄骨造!N9</f>
        <v/>
      </c>
      <c r="G29" s="45">
        <f>鉄骨造!R9</f>
        <v/>
      </c>
      <c r="H29" s="45">
        <f>鉄骨造!V9</f>
        <v/>
      </c>
      <c r="I29" s="45">
        <f>鉄骨造!Z9</f>
        <v/>
      </c>
      <c r="J29" s="45">
        <f>鉄骨造!AD9</f>
        <v/>
      </c>
      <c r="K29" s="45">
        <f>鉄骨造!AH9</f>
        <v/>
      </c>
      <c r="L29" s="45">
        <f>鉄骨造!AL9</f>
        <v/>
      </c>
      <c r="M29" s="45">
        <f>鉄骨造!AP9</f>
        <v/>
      </c>
      <c r="N29" s="45">
        <f>鉄骨造!AT9</f>
        <v/>
      </c>
      <c r="O29" s="45">
        <f>鉄骨造!AX9</f>
        <v/>
      </c>
      <c r="P29" s="45">
        <f>鉄骨造!BB9</f>
        <v/>
      </c>
      <c r="Q29" s="45">
        <f>鉄骨造!BF9</f>
        <v/>
      </c>
      <c r="R29" s="45">
        <f>鉄骨造!BJ9</f>
        <v/>
      </c>
      <c r="S29" s="45">
        <f>鉄骨造!BN9</f>
        <v/>
      </c>
      <c r="T29" s="45">
        <f>鉄骨造!BR9</f>
        <v/>
      </c>
      <c r="U29" s="45">
        <f>鉄骨造!BV9</f>
        <v/>
      </c>
      <c r="V29" s="45">
        <f>鉄骨造!BZ9</f>
        <v/>
      </c>
      <c r="W29" s="45">
        <f>鉄骨造!CD9</f>
        <v/>
      </c>
      <c r="X29" s="45">
        <f>鉄骨造!CH9</f>
        <v/>
      </c>
      <c r="Y29" s="45">
        <f>鉄骨造!CL9</f>
        <v/>
      </c>
      <c r="Z29" s="45">
        <f>鉄骨造!CP9</f>
        <v/>
      </c>
      <c r="AA29" s="45">
        <f>鉄骨造!CT9</f>
        <v/>
      </c>
      <c r="AB29" s="45">
        <f>鉄骨造!CX9</f>
        <v/>
      </c>
      <c r="AC29" s="45">
        <f>鉄骨造!DB9</f>
        <v/>
      </c>
      <c r="AD29" s="45">
        <f>鉄骨造!DF9</f>
        <v/>
      </c>
      <c r="AE29" s="45">
        <f>鉄骨造!DJ9</f>
        <v/>
      </c>
      <c r="AF29" s="45">
        <f>鉄骨造!DN9</f>
        <v/>
      </c>
      <c r="AG29" s="45">
        <f>鉄骨造!DR9</f>
        <v/>
      </c>
      <c r="AH29" s="45">
        <f>鉄骨造!DV9</f>
        <v/>
      </c>
      <c r="AI29" s="45">
        <f>鉄骨造!DZ9</f>
        <v/>
      </c>
      <c r="AJ29" s="45">
        <f>鉄骨造!ED9</f>
        <v/>
      </c>
      <c r="AK29" s="45">
        <f>鉄骨造!EH9</f>
        <v/>
      </c>
      <c r="AL29" s="45">
        <f>鉄骨造!EL9</f>
        <v/>
      </c>
      <c r="AM29" s="45">
        <f>鉄骨造!EP9</f>
        <v/>
      </c>
      <c r="AN29" s="45">
        <f>鉄骨造!ET9</f>
        <v/>
      </c>
      <c r="AO29" s="45">
        <f>鉄骨造!EX9</f>
        <v/>
      </c>
      <c r="AP29" s="45">
        <f>鉄骨造!FB9</f>
        <v/>
      </c>
      <c r="AQ29" s="45">
        <f>鉄骨造!FF9</f>
        <v/>
      </c>
      <c r="AR29" s="45">
        <f>鉄骨造!FN9</f>
        <v/>
      </c>
      <c r="AS29" s="45">
        <f>鉄骨造!FN9</f>
        <v/>
      </c>
      <c r="AT29" s="47" t="n"/>
      <c r="AU29" s="47" t="n"/>
      <c r="AV29" s="47" t="n"/>
    </row>
    <row r="30">
      <c r="B30" s="2" t="inlineStr">
        <is>
          <t>病院・診療所</t>
        </is>
      </c>
      <c r="C30" s="45">
        <f>鉄骨造!F10</f>
        <v/>
      </c>
      <c r="E30" s="45">
        <f>鉄骨造!J10</f>
        <v/>
      </c>
      <c r="F30" s="45">
        <f>鉄骨造!N10</f>
        <v/>
      </c>
      <c r="G30" s="45">
        <f>鉄骨造!R10</f>
        <v/>
      </c>
      <c r="H30" s="45">
        <f>鉄骨造!V10</f>
        <v/>
      </c>
      <c r="I30" s="45">
        <f>鉄骨造!Z10</f>
        <v/>
      </c>
      <c r="J30" s="45">
        <f>鉄骨造!AD10</f>
        <v/>
      </c>
      <c r="K30" s="45">
        <f>鉄骨造!AH10</f>
        <v/>
      </c>
      <c r="L30" s="45">
        <f>鉄骨造!AL10</f>
        <v/>
      </c>
      <c r="M30" s="45">
        <f>鉄骨造!AP10</f>
        <v/>
      </c>
      <c r="N30" s="45">
        <f>鉄骨造!AT10</f>
        <v/>
      </c>
      <c r="O30" s="45">
        <f>鉄骨造!AX10</f>
        <v/>
      </c>
      <c r="P30" s="45">
        <f>鉄骨造!BB10</f>
        <v/>
      </c>
      <c r="Q30" s="45">
        <f>鉄骨造!BF10</f>
        <v/>
      </c>
      <c r="R30" s="45">
        <f>鉄骨造!BJ10</f>
        <v/>
      </c>
      <c r="S30" s="45">
        <f>鉄骨造!BN10</f>
        <v/>
      </c>
      <c r="T30" s="45">
        <f>鉄骨造!BR10</f>
        <v/>
      </c>
      <c r="U30" s="45">
        <f>鉄骨造!BV10</f>
        <v/>
      </c>
      <c r="V30" s="45">
        <f>鉄骨造!BZ10</f>
        <v/>
      </c>
      <c r="W30" s="45">
        <f>鉄骨造!CD10</f>
        <v/>
      </c>
      <c r="X30" s="45">
        <f>鉄骨造!CH10</f>
        <v/>
      </c>
      <c r="Y30" s="45">
        <f>鉄骨造!CL10</f>
        <v/>
      </c>
      <c r="Z30" s="45">
        <f>鉄骨造!CP10</f>
        <v/>
      </c>
      <c r="AA30" s="45">
        <f>鉄骨造!CT10</f>
        <v/>
      </c>
      <c r="AB30" s="45">
        <f>鉄骨造!CX10</f>
        <v/>
      </c>
      <c r="AC30" s="45">
        <f>鉄骨造!DB10</f>
        <v/>
      </c>
      <c r="AD30" s="45">
        <f>鉄骨造!DF10</f>
        <v/>
      </c>
      <c r="AE30" s="45">
        <f>鉄骨造!DJ10</f>
        <v/>
      </c>
      <c r="AF30" s="45">
        <f>鉄骨造!DN10</f>
        <v/>
      </c>
      <c r="AG30" s="45">
        <f>鉄骨造!DR10</f>
        <v/>
      </c>
      <c r="AH30" s="45">
        <f>鉄骨造!DV10</f>
        <v/>
      </c>
      <c r="AI30" s="45">
        <f>鉄骨造!DZ10</f>
        <v/>
      </c>
      <c r="AJ30" s="45">
        <f>鉄骨造!ED10</f>
        <v/>
      </c>
      <c r="AK30" s="45">
        <f>鉄骨造!EH10</f>
        <v/>
      </c>
      <c r="AL30" s="45">
        <f>鉄骨造!EL10</f>
        <v/>
      </c>
      <c r="AM30" s="45">
        <f>鉄骨造!EP10</f>
        <v/>
      </c>
      <c r="AN30" s="45">
        <f>鉄骨造!ET10</f>
        <v/>
      </c>
      <c r="AO30" s="45">
        <f>鉄骨造!EX10</f>
        <v/>
      </c>
      <c r="AP30" s="45">
        <f>鉄骨造!FB10</f>
        <v/>
      </c>
      <c r="AQ30" s="45">
        <f>鉄骨造!FF10</f>
        <v/>
      </c>
      <c r="AR30" s="45">
        <f>鉄骨造!FN10</f>
        <v/>
      </c>
      <c r="AS30" s="45">
        <f>鉄骨造!FN10</f>
        <v/>
      </c>
      <c r="AT30" s="47" t="n"/>
      <c r="AU30" s="47" t="n"/>
      <c r="AV30" s="47" t="n"/>
    </row>
    <row r="31">
      <c r="B31" s="2" t="inlineStr">
        <is>
          <t>その他</t>
        </is>
      </c>
      <c r="C31" s="45">
        <f>鉄骨造!F11</f>
        <v/>
      </c>
      <c r="E31" s="45">
        <f>鉄骨造!J11</f>
        <v/>
      </c>
      <c r="F31" s="45">
        <f>鉄骨造!N11</f>
        <v/>
      </c>
      <c r="G31" s="45">
        <f>鉄骨造!R11</f>
        <v/>
      </c>
      <c r="H31" s="45">
        <f>鉄骨造!V11</f>
        <v/>
      </c>
      <c r="I31" s="45">
        <f>鉄骨造!Z11</f>
        <v/>
      </c>
      <c r="J31" s="45">
        <f>鉄骨造!AD11</f>
        <v/>
      </c>
      <c r="K31" s="45">
        <f>鉄骨造!AH11</f>
        <v/>
      </c>
      <c r="L31" s="45">
        <f>鉄骨造!AL11</f>
        <v/>
      </c>
      <c r="M31" s="45">
        <f>鉄骨造!AP11</f>
        <v/>
      </c>
      <c r="N31" s="45">
        <f>鉄骨造!AT11</f>
        <v/>
      </c>
      <c r="O31" s="45">
        <f>鉄骨造!AX11</f>
        <v/>
      </c>
      <c r="P31" s="45">
        <f>鉄骨造!BB11</f>
        <v/>
      </c>
      <c r="Q31" s="45">
        <f>鉄骨造!BF11</f>
        <v/>
      </c>
      <c r="R31" s="45">
        <f>鉄骨造!BJ11</f>
        <v/>
      </c>
      <c r="S31" s="45">
        <f>鉄骨造!BN11</f>
        <v/>
      </c>
      <c r="T31" s="45">
        <f>鉄骨造!BR11</f>
        <v/>
      </c>
      <c r="U31" s="45">
        <f>鉄骨造!BV11</f>
        <v/>
      </c>
      <c r="V31" s="45">
        <f>鉄骨造!BZ11</f>
        <v/>
      </c>
      <c r="W31" s="45">
        <f>鉄骨造!CD11</f>
        <v/>
      </c>
      <c r="X31" s="45">
        <f>鉄骨造!CH11</f>
        <v/>
      </c>
      <c r="Y31" s="45">
        <f>鉄骨造!CL11</f>
        <v/>
      </c>
      <c r="Z31" s="45">
        <f>鉄骨造!CP11</f>
        <v/>
      </c>
      <c r="AA31" s="45">
        <f>鉄骨造!CT11</f>
        <v/>
      </c>
      <c r="AB31" s="45">
        <f>鉄骨造!CX11</f>
        <v/>
      </c>
      <c r="AC31" s="45">
        <f>鉄骨造!DB11</f>
        <v/>
      </c>
      <c r="AD31" s="45">
        <f>鉄骨造!DF11</f>
        <v/>
      </c>
      <c r="AE31" s="45">
        <f>鉄骨造!DJ11</f>
        <v/>
      </c>
      <c r="AF31" s="45">
        <f>鉄骨造!DN11</f>
        <v/>
      </c>
      <c r="AG31" s="45">
        <f>鉄骨造!DR11</f>
        <v/>
      </c>
      <c r="AH31" s="45">
        <f>鉄骨造!DV11</f>
        <v/>
      </c>
      <c r="AI31" s="45">
        <f>鉄骨造!DZ11</f>
        <v/>
      </c>
      <c r="AJ31" s="45">
        <f>鉄骨造!ED11</f>
        <v/>
      </c>
      <c r="AK31" s="45">
        <f>鉄骨造!EH11</f>
        <v/>
      </c>
      <c r="AL31" s="45">
        <f>鉄骨造!EL11</f>
        <v/>
      </c>
      <c r="AM31" s="45">
        <f>鉄骨造!EP11</f>
        <v/>
      </c>
      <c r="AN31" s="45">
        <f>鉄骨造!ET11</f>
        <v/>
      </c>
      <c r="AO31" s="45">
        <f>鉄骨造!EX11</f>
        <v/>
      </c>
      <c r="AP31" s="45">
        <f>鉄骨造!FB11</f>
        <v/>
      </c>
      <c r="AQ31" s="45">
        <f>鉄骨造!FF11</f>
        <v/>
      </c>
      <c r="AR31" s="45">
        <f>鉄骨造!FN11</f>
        <v/>
      </c>
      <c r="AS31" s="45">
        <f>鉄骨造!FN11</f>
        <v/>
      </c>
      <c r="AT31" s="47" t="n"/>
      <c r="AU31" s="47" t="n"/>
      <c r="AV31" s="47" t="n"/>
    </row>
    <row r="33" ht="19.8" customHeight="1">
      <c r="A33" s="1" t="inlineStr">
        <is>
          <t>鉄骨造</t>
        </is>
      </c>
    </row>
    <row r="34" customFormat="1" s="19">
      <c r="C34" s="19" t="n">
        <v>2015</v>
      </c>
      <c r="D34" s="22" t="n"/>
      <c r="E34" s="19" t="inlineStr">
        <is>
          <t>R4.1</t>
        </is>
      </c>
      <c r="F34" s="19" t="inlineStr">
        <is>
          <t>R4.2</t>
        </is>
      </c>
      <c r="G34" s="19" t="inlineStr">
        <is>
          <t>R4.3</t>
        </is>
      </c>
      <c r="H34" s="19" t="inlineStr">
        <is>
          <t>R4.4</t>
        </is>
      </c>
      <c r="I34" s="19" t="inlineStr">
        <is>
          <t>R4.5</t>
        </is>
      </c>
      <c r="J34" s="19" t="inlineStr">
        <is>
          <t>R4.6</t>
        </is>
      </c>
      <c r="K34" s="19" t="inlineStr">
        <is>
          <t>R4.7</t>
        </is>
      </c>
      <c r="L34" s="19" t="inlineStr">
        <is>
          <t>R4.8</t>
        </is>
      </c>
      <c r="M34" s="19" t="inlineStr">
        <is>
          <t>R4.9</t>
        </is>
      </c>
      <c r="N34" s="19" t="inlineStr">
        <is>
          <t>R4.10</t>
        </is>
      </c>
      <c r="O34" s="19" t="inlineStr">
        <is>
          <t>R4.11</t>
        </is>
      </c>
      <c r="P34" s="19" t="inlineStr">
        <is>
          <t>R4.12</t>
        </is>
      </c>
      <c r="Q34" s="19" t="inlineStr">
        <is>
          <t>R5.1</t>
        </is>
      </c>
      <c r="R34" s="19" t="inlineStr">
        <is>
          <t>R5.2</t>
        </is>
      </c>
      <c r="S34" s="19" t="inlineStr">
        <is>
          <t>R5.3</t>
        </is>
      </c>
      <c r="T34" s="19" t="inlineStr">
        <is>
          <t>R5.4</t>
        </is>
      </c>
      <c r="U34" s="19" t="inlineStr">
        <is>
          <t>R5.5</t>
        </is>
      </c>
      <c r="V34" s="19" t="inlineStr">
        <is>
          <t>R5.6</t>
        </is>
      </c>
      <c r="W34" s="19" t="inlineStr">
        <is>
          <t>R5.7</t>
        </is>
      </c>
      <c r="X34" s="19" t="inlineStr">
        <is>
          <t>R5.8</t>
        </is>
      </c>
      <c r="Y34" s="19" t="inlineStr">
        <is>
          <t>R5.9</t>
        </is>
      </c>
      <c r="Z34" s="19" t="inlineStr">
        <is>
          <t>R5.10</t>
        </is>
      </c>
      <c r="AA34" s="19" t="inlineStr">
        <is>
          <t>R5.11</t>
        </is>
      </c>
      <c r="AB34" s="19" t="inlineStr">
        <is>
          <t>R5.12</t>
        </is>
      </c>
      <c r="AC34" s="19" t="inlineStr">
        <is>
          <t>R6.1</t>
        </is>
      </c>
      <c r="AD34" s="19" t="inlineStr">
        <is>
          <t>R6.2</t>
        </is>
      </c>
      <c r="AE34" s="19" t="inlineStr">
        <is>
          <t>R6.3</t>
        </is>
      </c>
      <c r="AF34" s="19" t="inlineStr">
        <is>
          <t>R6.4</t>
        </is>
      </c>
      <c r="AG34" s="19" t="inlineStr">
        <is>
          <t>R6.5</t>
        </is>
      </c>
      <c r="AH34" s="19" t="inlineStr">
        <is>
          <t>R6.6</t>
        </is>
      </c>
      <c r="AI34" s="19" t="inlineStr">
        <is>
          <t>R6.7</t>
        </is>
      </c>
      <c r="AJ34" s="19" t="inlineStr">
        <is>
          <t>R6.8</t>
        </is>
      </c>
      <c r="AK34" s="19" t="inlineStr">
        <is>
          <t>R6.9</t>
        </is>
      </c>
      <c r="AL34" s="19" t="inlineStr">
        <is>
          <t>R6.10</t>
        </is>
      </c>
      <c r="AM34" s="19" t="inlineStr">
        <is>
          <t>R6.11</t>
        </is>
      </c>
      <c r="AN34" s="19" t="inlineStr">
        <is>
          <t>R6.12</t>
        </is>
      </c>
      <c r="AO34" s="19" t="inlineStr">
        <is>
          <t>R7.1</t>
        </is>
      </c>
      <c r="AP34" s="19" t="inlineStr">
        <is>
          <t>R7.2</t>
        </is>
      </c>
      <c r="AQ34" s="19" t="inlineStr">
        <is>
          <t>R7.3</t>
        </is>
      </c>
      <c r="AR34" s="19" t="inlineStr">
        <is>
          <t>R7.4</t>
        </is>
      </c>
      <c r="AS34" s="19" t="inlineStr">
        <is>
          <t>R7.5</t>
        </is>
      </c>
      <c r="AT34" s="19" t="inlineStr">
        <is>
          <t>R7.6</t>
        </is>
      </c>
      <c r="AU34" s="19" t="inlineStr">
        <is>
          <t>R7.7</t>
        </is>
      </c>
      <c r="AV34" s="19" t="inlineStr">
        <is>
          <t>R7.8</t>
        </is>
      </c>
      <c r="AW34" s="19" t="inlineStr">
        <is>
          <t>R7.9</t>
        </is>
      </c>
      <c r="AX34" s="19" t="inlineStr">
        <is>
          <t>R7.10</t>
        </is>
      </c>
      <c r="AY34" s="19" t="inlineStr">
        <is>
          <t>R7.11</t>
        </is>
      </c>
      <c r="AZ34" s="19" t="inlineStr">
        <is>
          <t>R7.12</t>
        </is>
      </c>
    </row>
    <row r="35">
      <c r="C35" s="45">
        <f>鉄骨造!F18</f>
        <v/>
      </c>
      <c r="E35" s="45">
        <f>鉄骨造!J18</f>
        <v/>
      </c>
      <c r="F35" s="45">
        <f>鉄骨造!N18</f>
        <v/>
      </c>
      <c r="G35" s="45">
        <f>鉄骨造!R18</f>
        <v/>
      </c>
      <c r="H35" s="45">
        <f>鉄骨造!V18</f>
        <v/>
      </c>
      <c r="I35" s="45">
        <f>鉄骨造!Z18</f>
        <v/>
      </c>
      <c r="J35" s="45">
        <f>鉄骨造!AD18</f>
        <v/>
      </c>
      <c r="K35" s="45">
        <f>鉄骨造!AH18</f>
        <v/>
      </c>
      <c r="L35" s="45">
        <f>鉄骨造!AL18</f>
        <v/>
      </c>
      <c r="M35" s="45">
        <f>鉄骨造!AP18</f>
        <v/>
      </c>
      <c r="N35" s="45">
        <f>鉄骨造!AT18</f>
        <v/>
      </c>
      <c r="O35" s="45">
        <f>鉄骨造!AX18</f>
        <v/>
      </c>
      <c r="P35" s="45">
        <f>鉄骨造!BB18</f>
        <v/>
      </c>
      <c r="Q35" s="45">
        <f>鉄骨造!BF18</f>
        <v/>
      </c>
      <c r="R35" s="45">
        <f>鉄骨造!BJ18</f>
        <v/>
      </c>
      <c r="S35" s="45">
        <f>鉄骨造!BN18</f>
        <v/>
      </c>
      <c r="T35" s="45">
        <f>鉄骨造!BR18</f>
        <v/>
      </c>
      <c r="U35" s="45">
        <f>鉄骨造!BV18</f>
        <v/>
      </c>
      <c r="V35" s="45">
        <f>鉄骨造!BZ18</f>
        <v/>
      </c>
      <c r="W35" s="45">
        <f>鉄骨造!CD18</f>
        <v/>
      </c>
      <c r="X35" s="45">
        <f>鉄骨造!CH18</f>
        <v/>
      </c>
      <c r="Y35" s="45">
        <f>鉄骨造!CL18</f>
        <v/>
      </c>
      <c r="Z35" s="45">
        <f>鉄骨造!CP18</f>
        <v/>
      </c>
      <c r="AA35" s="45">
        <f>鉄骨造!CT18</f>
        <v/>
      </c>
      <c r="AB35" s="45">
        <f>鉄骨造!CX18</f>
        <v/>
      </c>
      <c r="AC35" s="45">
        <f>鉄骨造!DB18</f>
        <v/>
      </c>
      <c r="AD35" s="45">
        <f>鉄骨造!DF18</f>
        <v/>
      </c>
      <c r="AE35" s="45">
        <f>鉄骨造!DJ18</f>
        <v/>
      </c>
      <c r="AF35" s="45">
        <f>鉄骨造!DN18</f>
        <v/>
      </c>
      <c r="AG35" s="45">
        <f>鉄骨造!DR18</f>
        <v/>
      </c>
      <c r="AH35" s="45">
        <f>鉄骨造!DV18</f>
        <v/>
      </c>
      <c r="AI35" s="45">
        <f>鉄骨造!DZ18</f>
        <v/>
      </c>
      <c r="AJ35" s="45">
        <f>鉄骨造!ED18</f>
        <v/>
      </c>
      <c r="AK35" s="45">
        <f>鉄骨造!EH18</f>
        <v/>
      </c>
      <c r="AL35" s="45">
        <f>鉄骨造!EL18</f>
        <v/>
      </c>
      <c r="AM35" s="45">
        <f>鉄骨造!EP18</f>
        <v/>
      </c>
      <c r="AN35" s="45">
        <f>鉄骨造!ET18</f>
        <v/>
      </c>
      <c r="AO35" s="45">
        <f>鉄骨造!EX18</f>
        <v/>
      </c>
      <c r="AP35" s="45">
        <f>鉄骨造!FB18</f>
        <v/>
      </c>
      <c r="AQ35" s="45">
        <f>鉄骨造!FF18</f>
        <v/>
      </c>
      <c r="AR35" s="45">
        <f>鉄骨造!FJ18</f>
        <v/>
      </c>
      <c r="AS35" s="45">
        <f>鉄骨造!FN18</f>
        <v/>
      </c>
      <c r="AT35" s="2">
        <f>鉄骨造!FR18</f>
        <v/>
      </c>
      <c r="AU35" s="2">
        <f>鉄骨造!FV18</f>
        <v/>
      </c>
      <c r="AV35" s="2">
        <f>鉄骨造!FZ18</f>
        <v/>
      </c>
      <c r="AW35" s="48">
        <f>鉄骨造!GD18</f>
        <v/>
      </c>
      <c r="AX35" s="48">
        <f>鉄骨造!GH18</f>
        <v/>
      </c>
      <c r="AY35" s="48">
        <f>鉄骨造!GL18</f>
        <v/>
      </c>
    </row>
    <row r="36" customFormat="1" s="23">
      <c r="B36" s="24" t="inlineStr">
        <is>
          <t>指数化</t>
        </is>
      </c>
      <c r="C36" s="46" t="n">
        <v>100</v>
      </c>
      <c r="D36" s="28" t="inlineStr">
        <is>
          <t>建築物着工統計算出指数(S造/多用途建築物)</t>
        </is>
      </c>
      <c r="E36" s="46">
        <f>E35/$C$35*100</f>
        <v/>
      </c>
      <c r="F36" s="46">
        <f>F35/$C$35*100</f>
        <v/>
      </c>
      <c r="G36" s="46">
        <f>G35/$C$35*100</f>
        <v/>
      </c>
      <c r="H36" s="46">
        <f>H35/$C$35*100</f>
        <v/>
      </c>
      <c r="I36" s="46">
        <f>I35/$C$35*100</f>
        <v/>
      </c>
      <c r="J36" s="46">
        <f>J35/$C$35*100</f>
        <v/>
      </c>
      <c r="K36" s="46">
        <f>K35/$C$35*100</f>
        <v/>
      </c>
      <c r="L36" s="46">
        <f>L35/$C$35*100</f>
        <v/>
      </c>
      <c r="M36" s="46">
        <f>M35/$C$35*100</f>
        <v/>
      </c>
      <c r="N36" s="46">
        <f>N35/$C$35*100</f>
        <v/>
      </c>
      <c r="O36" s="46">
        <f>O35/$C$35*100</f>
        <v/>
      </c>
      <c r="P36" s="46">
        <f>P35/$C$35*100</f>
        <v/>
      </c>
      <c r="Q36" s="46">
        <f>Q35/$C$35*100</f>
        <v/>
      </c>
      <c r="R36" s="46">
        <f>R35/$C$35*100</f>
        <v/>
      </c>
      <c r="S36" s="46">
        <f>S35/$C$35*100</f>
        <v/>
      </c>
      <c r="T36" s="46">
        <f>T35/$C$35*100</f>
        <v/>
      </c>
      <c r="U36" s="46">
        <f>U35/$C$35*100</f>
        <v/>
      </c>
      <c r="V36" s="46">
        <f>V35/$C$35*100</f>
        <v/>
      </c>
      <c r="W36" s="46">
        <f>W35/$C$35*100</f>
        <v/>
      </c>
      <c r="X36" s="46">
        <f>X35/$C$35*100</f>
        <v/>
      </c>
      <c r="Y36" s="46">
        <f>Y35/$C$35*100</f>
        <v/>
      </c>
      <c r="Z36" s="46">
        <f>Z35/$C$35*100</f>
        <v/>
      </c>
      <c r="AA36" s="46">
        <f>AA35/$C$35*100</f>
        <v/>
      </c>
      <c r="AB36" s="46">
        <f>AB35/$C$35*100</f>
        <v/>
      </c>
      <c r="AC36" s="46">
        <f>AC35/$C$35*100</f>
        <v/>
      </c>
      <c r="AD36" s="46">
        <f>AD35/$C$35*100</f>
        <v/>
      </c>
      <c r="AE36" s="46">
        <f>AE35/$C$35*100</f>
        <v/>
      </c>
      <c r="AF36" s="46">
        <f>AF35/$C$35*100</f>
        <v/>
      </c>
      <c r="AG36" s="46">
        <f>AG35/$C$35*100</f>
        <v/>
      </c>
      <c r="AH36" s="46">
        <f>AH35/$C$35*100</f>
        <v/>
      </c>
      <c r="AI36" s="46">
        <f>AI35/$C$35*100</f>
        <v/>
      </c>
      <c r="AJ36" s="46">
        <f>AJ35/$C$35*100</f>
        <v/>
      </c>
      <c r="AK36" s="46">
        <f>AK35/$C$35*100</f>
        <v/>
      </c>
      <c r="AL36" s="46">
        <f>AL35/$C$35*100</f>
        <v/>
      </c>
      <c r="AM36" s="46">
        <f>AM35/$C$35*100</f>
        <v/>
      </c>
      <c r="AN36" s="46">
        <f>AN35/$C$35*100</f>
        <v/>
      </c>
      <c r="AO36" s="46">
        <f>AO35/$C$35*100</f>
        <v/>
      </c>
      <c r="AP36" s="46">
        <f>AP35/$C$35*100</f>
        <v/>
      </c>
      <c r="AQ36" s="46">
        <f>AQ35/$C$35*100</f>
        <v/>
      </c>
      <c r="AR36" s="46">
        <f>AR35/$C$35*100</f>
        <v/>
      </c>
      <c r="AS36" s="46">
        <f>AS35/$C$35*100</f>
        <v/>
      </c>
      <c r="AT36" s="46">
        <f>AT35/$C$35*100</f>
        <v/>
      </c>
      <c r="AU36" s="46">
        <f>AU35/$C$35*100</f>
        <v/>
      </c>
      <c r="AV36" s="46">
        <f>AV35/$C$35*100</f>
        <v/>
      </c>
      <c r="AW36" s="49">
        <f>AW35/$C$35*100</f>
        <v/>
      </c>
      <c r="AX36" s="49">
        <f>AX35/$C$35*100</f>
        <v/>
      </c>
      <c r="AY36" s="49">
        <f>AY35/$C$35*100</f>
        <v/>
      </c>
    </row>
    <row r="37" customFormat="1" s="23">
      <c r="B37" s="24" t="n"/>
      <c r="C37" s="46" t="n"/>
      <c r="D37" s="28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</row>
    <row r="38" ht="19.8" customHeight="1">
      <c r="A38" s="1" t="inlineStr">
        <is>
          <t>建築費指数</t>
        </is>
      </c>
    </row>
    <row r="39">
      <c r="B39" s="2" t="inlineStr">
        <is>
          <t>事務所　S造</t>
        </is>
      </c>
      <c r="C39" s="2" t="n">
        <v>100</v>
      </c>
      <c r="D39" s="22" t="inlineStr">
        <is>
          <t>建築費指数</t>
        </is>
      </c>
      <c r="E39" t="n">
        <v>113.6</v>
      </c>
      <c r="F39" s="50" t="n">
        <v>113.7</v>
      </c>
      <c r="G39" s="50" t="n">
        <v>114.4</v>
      </c>
      <c r="H39" s="50" t="n">
        <v>115.5</v>
      </c>
      <c r="I39" s="50" t="n">
        <v>116.2</v>
      </c>
      <c r="J39" s="50" t="n">
        <v>118.3</v>
      </c>
      <c r="K39" s="50" t="n">
        <v>118.4</v>
      </c>
      <c r="L39" s="50" t="n">
        <v>120.3</v>
      </c>
      <c r="M39" s="50" t="n">
        <v>122.2</v>
      </c>
      <c r="N39" s="50" t="n">
        <v>122.8</v>
      </c>
      <c r="O39" s="50" t="n">
        <v>123.1</v>
      </c>
      <c r="P39" s="50" t="n">
        <v>124.1</v>
      </c>
      <c r="Q39" s="50" t="n">
        <v>124.3</v>
      </c>
      <c r="R39" s="50" t="n">
        <v>124.2</v>
      </c>
      <c r="S39" s="50" t="n">
        <v>124.4</v>
      </c>
      <c r="T39" s="50" t="n">
        <v>124.4</v>
      </c>
      <c r="U39" s="50" t="n">
        <v>124.5</v>
      </c>
      <c r="V39" s="50" t="n">
        <v>126.7</v>
      </c>
      <c r="W39" s="50" t="n">
        <v>126.6</v>
      </c>
      <c r="X39" s="50" t="n">
        <v>127</v>
      </c>
      <c r="Y39" s="50" t="n">
        <v>128.8</v>
      </c>
      <c r="Z39" s="50" t="n">
        <v>128.7</v>
      </c>
      <c r="AA39" s="50" t="n">
        <v>129.4</v>
      </c>
      <c r="AB39" s="50" t="n">
        <v>130.7</v>
      </c>
      <c r="AC39" s="50" t="n">
        <v>130.9</v>
      </c>
      <c r="AD39" s="50" t="n">
        <v>131</v>
      </c>
      <c r="AE39" s="50" t="n">
        <v>132</v>
      </c>
      <c r="AF39" s="50" t="n">
        <v>132.1</v>
      </c>
      <c r="AG39" s="50" t="n">
        <v>132.6</v>
      </c>
      <c r="AH39" s="50" t="n">
        <v>133.4</v>
      </c>
      <c r="AI39" s="50" t="n">
        <v>134.7</v>
      </c>
      <c r="AJ39" s="50" t="n">
        <v>134.8</v>
      </c>
      <c r="AK39" s="50" t="n">
        <v>135.7</v>
      </c>
      <c r="AL39" s="50" t="n">
        <v>135.3</v>
      </c>
      <c r="AM39" s="50" t="n">
        <v>135.2</v>
      </c>
      <c r="AN39" s="50" t="n">
        <v>136.9</v>
      </c>
      <c r="AO39" s="50" t="n">
        <v>137</v>
      </c>
      <c r="AP39" s="50" t="n">
        <v>137</v>
      </c>
      <c r="AQ39" s="50" t="n">
        <v>137.6</v>
      </c>
      <c r="AR39" s="50" t="n">
        <v>137.4</v>
      </c>
      <c r="AS39" s="50" t="n">
        <v>138</v>
      </c>
      <c r="AT39" s="50" t="n">
        <v>138.8</v>
      </c>
      <c r="AU39" s="50" t="n">
        <v>138.7</v>
      </c>
      <c r="AV39" s="50" t="n">
        <v>138.9</v>
      </c>
      <c r="AW39" s="51" t="n">
        <v>139.5</v>
      </c>
      <c r="AX39" s="33" t="n">
        <v>139.5</v>
      </c>
      <c r="AY39" s="33" t="n">
        <v>139.7</v>
      </c>
      <c r="AZ39" s="2" t="n">
        <v>140.7</v>
      </c>
    </row>
    <row r="41" ht="19.8" customHeight="1">
      <c r="A41" s="1" t="inlineStr">
        <is>
          <t>デフレーター</t>
        </is>
      </c>
    </row>
    <row r="42">
      <c r="B42" s="2" t="inlineStr">
        <is>
          <t>S事務所・その他</t>
        </is>
      </c>
      <c r="C42" s="26" t="n">
        <v>100</v>
      </c>
      <c r="D42" s="22" t="inlineStr">
        <is>
          <t>デフレーター</t>
        </is>
      </c>
      <c r="E42" t="n">
        <v>115.2</v>
      </c>
      <c r="F42" s="52" t="n">
        <v>115.6</v>
      </c>
      <c r="G42" s="52" t="n">
        <v>116.4</v>
      </c>
      <c r="H42" s="52" t="n">
        <v>117.5</v>
      </c>
      <c r="I42" s="52" t="n">
        <v>116.9</v>
      </c>
      <c r="J42" s="52" t="n">
        <v>119.5</v>
      </c>
      <c r="K42" s="52" t="n">
        <v>117.6</v>
      </c>
      <c r="L42" s="52" t="n">
        <v>118.9</v>
      </c>
      <c r="M42" s="52" t="n">
        <v>118.2</v>
      </c>
      <c r="N42" s="52" t="n">
        <v>120.1</v>
      </c>
      <c r="O42" s="52" t="n">
        <v>122</v>
      </c>
      <c r="P42" s="52" t="n">
        <v>121.2</v>
      </c>
      <c r="Q42" s="52" t="n">
        <v>121.1</v>
      </c>
      <c r="R42" s="52" t="n">
        <v>121.2</v>
      </c>
      <c r="S42" s="52" t="n">
        <v>122.2</v>
      </c>
      <c r="T42" s="52" t="n">
        <v>122.3</v>
      </c>
      <c r="U42" s="52" t="n">
        <v>122.1</v>
      </c>
      <c r="V42" s="52" t="n">
        <v>122.9</v>
      </c>
      <c r="W42" s="52" t="n">
        <v>123.3</v>
      </c>
      <c r="X42" s="52" t="n">
        <v>124</v>
      </c>
      <c r="Y42" s="52" t="n">
        <v>123.7</v>
      </c>
      <c r="Z42" s="52" t="n">
        <v>124.3</v>
      </c>
      <c r="AA42" s="52" t="n">
        <v>124.5</v>
      </c>
      <c r="AB42" s="52" t="n">
        <v>124.4</v>
      </c>
      <c r="AC42" s="52" t="n">
        <v>124.5</v>
      </c>
      <c r="AD42" s="52" t="n">
        <v>124.9</v>
      </c>
      <c r="AE42" s="52" t="n">
        <v>126.2</v>
      </c>
      <c r="AF42" s="52" t="n">
        <v>127.2</v>
      </c>
      <c r="AG42" s="52" t="n">
        <v>128.9</v>
      </c>
      <c r="AH42" s="52" t="n">
        <v>128.6</v>
      </c>
      <c r="AI42" s="52" t="n">
        <v>130.2</v>
      </c>
      <c r="AJ42" s="52" t="n">
        <v>128.8</v>
      </c>
      <c r="AK42" s="52" t="n">
        <v>129</v>
      </c>
      <c r="AL42" s="52" t="n">
        <v>129</v>
      </c>
      <c r="AM42" s="52" t="n">
        <v>130.8</v>
      </c>
      <c r="AN42" s="52" t="n">
        <v>131.6</v>
      </c>
      <c r="AO42" s="52" t="n">
        <v>129.8</v>
      </c>
      <c r="AP42" s="52" t="n">
        <v>131.4</v>
      </c>
      <c r="AQ42" s="52" t="n">
        <v>129.8</v>
      </c>
      <c r="AR42" s="52" t="n">
        <v>131.7</v>
      </c>
      <c r="AS42" t="n">
        <v>133.6</v>
      </c>
      <c r="AT42" t="n">
        <v>139</v>
      </c>
      <c r="AU42" s="33" t="n">
        <v>133.6</v>
      </c>
      <c r="AV42" s="33" t="n">
        <v>137.8</v>
      </c>
      <c r="AW42" s="33" t="n">
        <v>132.4</v>
      </c>
      <c r="AX42" s="33" t="n">
        <v>132.7</v>
      </c>
      <c r="AY42" s="53" t="n">
        <v>132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3" zoomScale="40" zoomScaleNormal="40" workbookViewId="0">
      <selection activeCell="X22" sqref="X22"/>
    </sheetView>
  </sheetViews>
  <sheetFormatPr baseColWidth="8" defaultRowHeight="18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構造</t>
        </is>
      </c>
      <c r="B1" t="inlineStr">
        <is>
          <t>用途</t>
        </is>
      </c>
      <c r="C1" t="inlineStr">
        <is>
          <t>時期</t>
        </is>
      </c>
      <c r="D1" t="inlineStr">
        <is>
          <t>床面積の合計（㎡）</t>
        </is>
      </c>
      <c r="E1" t="inlineStr">
        <is>
          <t>工事費予定額（万円）</t>
        </is>
      </c>
      <c r="F1" t="inlineStr">
        <is>
          <t>面積単価（万円/㎡）</t>
        </is>
      </c>
      <c r="G1" t="inlineStr">
        <is>
          <t>面積単価（万円/坪）</t>
        </is>
      </c>
    </row>
    <row r="2">
      <c r="A2" t="inlineStr">
        <is>
          <t>鉄骨鉄筋コンクリート造</t>
        </is>
      </c>
      <c r="B2" t="inlineStr">
        <is>
          <t>事務所</t>
        </is>
      </c>
      <c r="C2" t="inlineStr">
        <is>
          <t>2015（基準）</t>
        </is>
      </c>
      <c r="D2" t="n">
        <v>376276</v>
      </c>
      <c r="E2" t="n">
        <v>14713671</v>
      </c>
      <c r="F2" t="n">
        <v>39.10340016370962</v>
      </c>
      <c r="G2" t="n">
        <v>129.2674384025968</v>
      </c>
    </row>
    <row r="3">
      <c r="A3" t="inlineStr">
        <is>
          <t>鉄骨鉄筋コンクリート造</t>
        </is>
      </c>
      <c r="B3" t="inlineStr">
        <is>
          <t>事務所</t>
        </is>
      </c>
      <c r="C3" t="inlineStr">
        <is>
          <t>令和4年2月分</t>
        </is>
      </c>
      <c r="D3" t="n">
        <v>14473</v>
      </c>
      <c r="E3" t="n">
        <v>703002</v>
      </c>
      <c r="F3" t="n">
        <v>48.57334346714572</v>
      </c>
      <c r="G3" t="n">
        <v>160.5730360623395</v>
      </c>
    </row>
    <row r="4">
      <c r="A4" t="inlineStr">
        <is>
          <t>鉄骨鉄筋コンクリート造</t>
        </is>
      </c>
      <c r="B4" t="inlineStr">
        <is>
          <t>事務所</t>
        </is>
      </c>
      <c r="C4" t="inlineStr">
        <is>
          <t>令和4年5月分</t>
        </is>
      </c>
      <c r="D4" t="n">
        <v>12930</v>
      </c>
      <c r="E4" t="n">
        <v>468976</v>
      </c>
      <c r="F4" t="n">
        <v>36.27037896365042</v>
      </c>
      <c r="G4" t="n">
        <v>119.9020790747966</v>
      </c>
    </row>
    <row r="5">
      <c r="A5" t="inlineStr">
        <is>
          <t>鉄骨鉄筋コンクリート造</t>
        </is>
      </c>
      <c r="B5" t="inlineStr">
        <is>
          <t>事務所</t>
        </is>
      </c>
      <c r="C5" t="inlineStr">
        <is>
          <t>令和4年8月分</t>
        </is>
      </c>
      <c r="D5" t="n">
        <v>2176</v>
      </c>
      <c r="E5" t="n">
        <v>33947</v>
      </c>
      <c r="F5" t="n">
        <v>15.60064338235294</v>
      </c>
      <c r="G5" t="n">
        <v>51.57237475580882</v>
      </c>
    </row>
    <row r="6">
      <c r="A6" t="inlineStr">
        <is>
          <t>鉄骨鉄筋コンクリート造</t>
        </is>
      </c>
      <c r="B6" t="inlineStr">
        <is>
          <t>事務所</t>
        </is>
      </c>
      <c r="C6" t="inlineStr">
        <is>
          <t>令和4年11月分</t>
        </is>
      </c>
      <c r="D6" t="n">
        <v>6950</v>
      </c>
      <c r="E6" t="n">
        <v>278981</v>
      </c>
      <c r="F6" t="n">
        <v>40.14115107913669</v>
      </c>
      <c r="G6" t="n">
        <v>132.698019937082</v>
      </c>
    </row>
    <row r="7">
      <c r="A7" t="inlineStr">
        <is>
          <t>鉄骨鉄筋コンクリート造</t>
        </is>
      </c>
      <c r="B7" t="inlineStr">
        <is>
          <t>事務所</t>
        </is>
      </c>
      <c r="C7" t="inlineStr">
        <is>
          <t>令和5年2月分</t>
        </is>
      </c>
      <c r="D7" t="n">
        <v>15791</v>
      </c>
      <c r="E7" t="n">
        <v>679000</v>
      </c>
      <c r="F7" t="n">
        <v>42.99917674624786</v>
      </c>
      <c r="G7" t="n">
        <v>142.1460386599962</v>
      </c>
    </row>
    <row r="8">
      <c r="A8" t="inlineStr">
        <is>
          <t>鉄骨鉄筋コンクリート造</t>
        </is>
      </c>
      <c r="B8" t="inlineStr">
        <is>
          <t>事務所</t>
        </is>
      </c>
      <c r="C8" t="inlineStr">
        <is>
          <t>令和5年5月分</t>
        </is>
      </c>
      <c r="D8" t="n">
        <v>13436</v>
      </c>
      <c r="E8" t="n">
        <v>844000</v>
      </c>
      <c r="F8" t="n">
        <v>62.81631437927955</v>
      </c>
      <c r="G8" t="n">
        <v>207.6572373682644</v>
      </c>
    </row>
    <row r="9">
      <c r="A9" t="inlineStr">
        <is>
          <t>鉄骨鉄筋コンクリート造</t>
        </is>
      </c>
      <c r="B9" t="inlineStr">
        <is>
          <t>事務所</t>
        </is>
      </c>
      <c r="C9" t="inlineStr">
        <is>
          <t>令和5年8月分</t>
        </is>
      </c>
      <c r="D9" t="n">
        <v>29255</v>
      </c>
      <c r="E9" t="n">
        <v>1503500</v>
      </c>
      <c r="F9" t="n">
        <v>51.39292428644676</v>
      </c>
      <c r="G9" t="n">
        <v>169.8939643794223</v>
      </c>
    </row>
    <row r="10">
      <c r="A10" t="inlineStr">
        <is>
          <t>鉄骨鉄筋コンクリート造</t>
        </is>
      </c>
      <c r="B10" t="inlineStr">
        <is>
          <t>事務所</t>
        </is>
      </c>
      <c r="C10" t="inlineStr">
        <is>
          <t>令和5年11月分</t>
        </is>
      </c>
      <c r="D10" t="n">
        <v>6133</v>
      </c>
      <c r="E10" t="n">
        <v>385200</v>
      </c>
      <c r="F10" t="n">
        <v>62.80776129137453</v>
      </c>
      <c r="G10" t="n">
        <v>207.6289626975379</v>
      </c>
    </row>
    <row r="11">
      <c r="A11" t="inlineStr">
        <is>
          <t>鉄骨鉄筋コンクリート造</t>
        </is>
      </c>
      <c r="B11" t="inlineStr">
        <is>
          <t>事務所</t>
        </is>
      </c>
      <c r="C11" t="inlineStr">
        <is>
          <t>令和6年2月分</t>
        </is>
      </c>
      <c r="D11" t="n">
        <v>0</v>
      </c>
      <c r="E11" t="n">
        <v>0</v>
      </c>
      <c r="F11" t="e">
        <v>#DIV/0!</v>
      </c>
      <c r="G11" t="e">
        <v>#DIV/0!</v>
      </c>
    </row>
    <row r="12">
      <c r="A12" t="inlineStr">
        <is>
          <t>鉄骨鉄筋コンクリート造</t>
        </is>
      </c>
      <c r="B12" t="inlineStr">
        <is>
          <t>事務所</t>
        </is>
      </c>
      <c r="C12" t="inlineStr">
        <is>
          <t>令和6年5月分</t>
        </is>
      </c>
      <c r="D12" t="n">
        <v>73716</v>
      </c>
      <c r="E12" t="n">
        <v>4000000</v>
      </c>
      <c r="F12" t="n">
        <v>54.26230397742688</v>
      </c>
      <c r="G12" t="n">
        <v>179.3795170654946</v>
      </c>
    </row>
    <row r="13">
      <c r="A13" t="inlineStr">
        <is>
          <t>鉄骨鉄筋コンクリート造</t>
        </is>
      </c>
      <c r="B13" t="inlineStr">
        <is>
          <t>事務所</t>
        </is>
      </c>
      <c r="C13" t="inlineStr">
        <is>
          <t>令和6年8月分</t>
        </is>
      </c>
      <c r="D13" t="n">
        <v>3487</v>
      </c>
      <c r="E13" t="n">
        <v>213200</v>
      </c>
      <c r="F13" t="n">
        <v>61.14138227702897</v>
      </c>
      <c r="G13" t="n">
        <v>202.1202717476341</v>
      </c>
    </row>
    <row r="14">
      <c r="A14" t="inlineStr">
        <is>
          <t>鉄骨鉄筋コンクリート造</t>
        </is>
      </c>
      <c r="B14" t="inlineStr">
        <is>
          <t>事務所</t>
        </is>
      </c>
      <c r="C14" t="inlineStr">
        <is>
          <t>令和6年11月分</t>
        </is>
      </c>
      <c r="D14" t="n">
        <v>43887</v>
      </c>
      <c r="E14" t="n">
        <v>2383000</v>
      </c>
      <c r="F14" t="n">
        <v>54.29853943081095</v>
      </c>
      <c r="G14" t="n">
        <v>179.4993036881081</v>
      </c>
    </row>
    <row r="15">
      <c r="A15" t="inlineStr">
        <is>
          <t>鉄骨鉄筋コンクリート造</t>
        </is>
      </c>
      <c r="B15" t="inlineStr">
        <is>
          <t>事務所</t>
        </is>
      </c>
      <c r="C15" t="inlineStr">
        <is>
          <t>令和7年2月分</t>
        </is>
      </c>
      <c r="D15" t="n">
        <v>3548</v>
      </c>
      <c r="E15" t="n">
        <v>325057.03864</v>
      </c>
      <c r="F15" t="n">
        <v>91.61697819616685</v>
      </c>
      <c r="G15" t="n">
        <v>302.8660432602528</v>
      </c>
    </row>
    <row r="16">
      <c r="A16" t="inlineStr">
        <is>
          <t>鉄骨鉄筋コンクリート造</t>
        </is>
      </c>
      <c r="B16" t="inlineStr">
        <is>
          <t>事務所</t>
        </is>
      </c>
      <c r="C16" t="inlineStr">
        <is>
          <t>令和7年5月分</t>
        </is>
      </c>
      <c r="D16" t="n">
        <v>1988</v>
      </c>
      <c r="E16" t="n">
        <v>96136</v>
      </c>
      <c r="F16" t="n">
        <v>48.35814889336016</v>
      </c>
      <c r="G16" t="n">
        <v>159.8616490424145</v>
      </c>
    </row>
    <row r="17">
      <c r="A17" t="inlineStr">
        <is>
          <t>鉄骨鉄筋コンクリート造</t>
        </is>
      </c>
      <c r="B17" t="inlineStr">
        <is>
          <t>店舗</t>
        </is>
      </c>
      <c r="C17" t="inlineStr">
        <is>
          <t>2015（基準）</t>
        </is>
      </c>
      <c r="D17" t="n">
        <v>47766</v>
      </c>
      <c r="E17" t="n">
        <v>1192080</v>
      </c>
      <c r="F17" t="n">
        <v>24.95666373571159</v>
      </c>
      <c r="G17" t="n">
        <v>82.501367622359</v>
      </c>
    </row>
    <row r="18">
      <c r="A18" t="inlineStr">
        <is>
          <t>鉄骨鉄筋コンクリート造</t>
        </is>
      </c>
      <c r="B18" t="inlineStr">
        <is>
          <t>店舗</t>
        </is>
      </c>
      <c r="C18" t="inlineStr">
        <is>
          <t>令和4年2月分</t>
        </is>
      </c>
      <c r="D18" t="n">
        <v>505</v>
      </c>
      <c r="E18" t="n">
        <v>30000</v>
      </c>
      <c r="F18" t="n">
        <v>59.40594059405941</v>
      </c>
      <c r="G18" t="n">
        <v>196.3832744554456</v>
      </c>
    </row>
    <row r="19">
      <c r="A19" t="inlineStr">
        <is>
          <t>鉄骨鉄筋コンクリート造</t>
        </is>
      </c>
      <c r="B19" t="inlineStr">
        <is>
          <t>店舗</t>
        </is>
      </c>
      <c r="C19" t="inlineStr">
        <is>
          <t>令和4年5月分</t>
        </is>
      </c>
      <c r="D19" t="n">
        <v>178</v>
      </c>
      <c r="E19" t="n">
        <v>2250</v>
      </c>
      <c r="F19" t="n">
        <v>12.64044943820225</v>
      </c>
      <c r="G19" t="n">
        <v>41.78660966292134</v>
      </c>
    </row>
    <row r="20">
      <c r="A20" t="inlineStr">
        <is>
          <t>鉄骨鉄筋コンクリート造</t>
        </is>
      </c>
      <c r="B20" t="inlineStr">
        <is>
          <t>店舗</t>
        </is>
      </c>
      <c r="C20" t="inlineStr">
        <is>
          <t>令和4年8月分</t>
        </is>
      </c>
      <c r="D20" t="n">
        <v>7218</v>
      </c>
      <c r="E20" t="n">
        <v>122430</v>
      </c>
      <c r="F20" t="n">
        <v>16.96176226101413</v>
      </c>
      <c r="G20" t="n">
        <v>56.07194129143807</v>
      </c>
    </row>
    <row r="21">
      <c r="A21" t="inlineStr">
        <is>
          <t>鉄骨鉄筋コンクリート造</t>
        </is>
      </c>
      <c r="B21" t="inlineStr">
        <is>
          <t>店舗</t>
        </is>
      </c>
      <c r="C21" t="inlineStr">
        <is>
          <t>令和4年11月分</t>
        </is>
      </c>
      <c r="D21" t="n">
        <v>1194</v>
      </c>
      <c r="E21" t="n">
        <v>10000</v>
      </c>
      <c r="F21" t="n">
        <v>8.375209380234505</v>
      </c>
      <c r="G21" t="n">
        <v>27.68664254606365</v>
      </c>
    </row>
    <row r="22">
      <c r="A22" t="inlineStr">
        <is>
          <t>鉄骨鉄筋コンクリート造</t>
        </is>
      </c>
      <c r="B22" t="inlineStr">
        <is>
          <t>店舗</t>
        </is>
      </c>
      <c r="C22" t="inlineStr">
        <is>
          <t>令和5年2月分</t>
        </is>
      </c>
      <c r="D22" t="n">
        <v>5739</v>
      </c>
      <c r="E22" t="n">
        <v>177000</v>
      </c>
      <c r="F22" t="n">
        <v>30.84161003659174</v>
      </c>
      <c r="G22" t="n">
        <v>101.9557355358076</v>
      </c>
    </row>
    <row r="23">
      <c r="A23" t="inlineStr">
        <is>
          <t>鉄骨鉄筋コンクリート造</t>
        </is>
      </c>
      <c r="B23" t="inlineStr">
        <is>
          <t>店舗</t>
        </is>
      </c>
      <c r="C23" t="inlineStr">
        <is>
          <t>令和5年5月分</t>
        </is>
      </c>
      <c r="D23" t="n">
        <v>0</v>
      </c>
      <c r="E23" t="n">
        <v>0</v>
      </c>
      <c r="F23" t="e">
        <v>#DIV/0!</v>
      </c>
      <c r="G23" t="e">
        <v>#DIV/0!</v>
      </c>
    </row>
    <row r="24">
      <c r="A24" t="inlineStr">
        <is>
          <t>鉄骨鉄筋コンクリート造</t>
        </is>
      </c>
      <c r="B24" t="inlineStr">
        <is>
          <t>店舗</t>
        </is>
      </c>
      <c r="C24" t="inlineStr">
        <is>
          <t>令和5年8月分</t>
        </is>
      </c>
      <c r="D24" t="n">
        <v>309</v>
      </c>
      <c r="E24" t="n">
        <v>30000</v>
      </c>
      <c r="F24" t="n">
        <v>97.08737864077671</v>
      </c>
      <c r="G24" t="n">
        <v>320.9500116504855</v>
      </c>
    </row>
    <row r="25">
      <c r="A25" t="inlineStr">
        <is>
          <t>鉄骨鉄筋コンクリート造</t>
        </is>
      </c>
      <c r="B25" t="inlineStr">
        <is>
          <t>店舗</t>
        </is>
      </c>
      <c r="C25" t="inlineStr">
        <is>
          <t>令和5年11月分</t>
        </is>
      </c>
      <c r="D25" t="n">
        <v>0</v>
      </c>
      <c r="E25" t="n">
        <v>0</v>
      </c>
      <c r="F25" t="e">
        <v>#DIV/0!</v>
      </c>
      <c r="G25" t="e">
        <v>#DIV/0!</v>
      </c>
    </row>
    <row r="26">
      <c r="A26" t="inlineStr">
        <is>
          <t>鉄骨鉄筋コンクリート造</t>
        </is>
      </c>
      <c r="B26" t="inlineStr">
        <is>
          <t>店舗</t>
        </is>
      </c>
      <c r="C26" t="inlineStr">
        <is>
          <t>令和6年2月分</t>
        </is>
      </c>
      <c r="D26" t="n">
        <v>0</v>
      </c>
      <c r="E26" t="n">
        <v>0</v>
      </c>
      <c r="F26" t="e">
        <v>#DIV/0!</v>
      </c>
      <c r="G26" t="e">
        <v>#DIV/0!</v>
      </c>
    </row>
    <row r="27">
      <c r="A27" t="inlineStr">
        <is>
          <t>鉄骨鉄筋コンクリート造</t>
        </is>
      </c>
      <c r="B27" t="inlineStr">
        <is>
          <t>店舗</t>
        </is>
      </c>
      <c r="C27" t="inlineStr">
        <is>
          <t>令和6年5月分</t>
        </is>
      </c>
      <c r="D27" t="n">
        <v>285</v>
      </c>
      <c r="E27" t="n">
        <v>100</v>
      </c>
      <c r="F27" t="n">
        <v>0.3508771929824561</v>
      </c>
      <c r="G27" t="n">
        <v>1.159924603508772</v>
      </c>
    </row>
    <row r="28">
      <c r="A28" t="inlineStr">
        <is>
          <t>鉄骨鉄筋コンクリート造</t>
        </is>
      </c>
      <c r="B28" t="inlineStr">
        <is>
          <t>店舗</t>
        </is>
      </c>
      <c r="C28" t="inlineStr">
        <is>
          <t>令和6年8月分</t>
        </is>
      </c>
      <c r="D28" t="n">
        <v>243</v>
      </c>
      <c r="E28" t="n">
        <v>16057</v>
      </c>
      <c r="F28" t="n">
        <v>66.07818930041152</v>
      </c>
      <c r="G28" t="n">
        <v>218.4402949458436</v>
      </c>
    </row>
    <row r="29">
      <c r="A29" t="inlineStr">
        <is>
          <t>鉄骨鉄筋コンクリート造</t>
        </is>
      </c>
      <c r="B29" t="inlineStr">
        <is>
          <t>店舗</t>
        </is>
      </c>
      <c r="C29" t="inlineStr">
        <is>
          <t>令和6年11月分</t>
        </is>
      </c>
      <c r="D29" t="n">
        <v>120</v>
      </c>
      <c r="E29" t="n">
        <v>1650</v>
      </c>
      <c r="F29" t="n">
        <v>13.75</v>
      </c>
      <c r="G29" t="n">
        <v>45.4545454</v>
      </c>
    </row>
    <row r="30">
      <c r="A30" t="inlineStr">
        <is>
          <t>鉄骨鉄筋コンクリート造</t>
        </is>
      </c>
      <c r="B30" t="inlineStr">
        <is>
          <t>店舗</t>
        </is>
      </c>
      <c r="C30" t="inlineStr">
        <is>
          <t>令和7年2月分</t>
        </is>
      </c>
      <c r="D30" t="n">
        <v>0</v>
      </c>
      <c r="E30" t="n">
        <v>0</v>
      </c>
      <c r="F30" t="e">
        <v>#DIV/0!</v>
      </c>
      <c r="G30" t="e">
        <v>#DIV/0!</v>
      </c>
    </row>
    <row r="31">
      <c r="A31" t="inlineStr">
        <is>
          <t>鉄骨鉄筋コンクリート造</t>
        </is>
      </c>
      <c r="B31" t="inlineStr">
        <is>
          <t>店舗</t>
        </is>
      </c>
      <c r="C31" t="inlineStr">
        <is>
          <t>令和7年5月分</t>
        </is>
      </c>
      <c r="D31" t="n">
        <v>173</v>
      </c>
      <c r="E31" t="n">
        <v>5000</v>
      </c>
      <c r="F31" t="n">
        <v>28.90173410404624</v>
      </c>
      <c r="G31" t="n">
        <v>95.54292254335259</v>
      </c>
    </row>
    <row r="32">
      <c r="A32" t="inlineStr">
        <is>
          <t>鉄骨鉄筋コンクリート造</t>
        </is>
      </c>
      <c r="B32" t="inlineStr">
        <is>
          <t>工場及び作業場</t>
        </is>
      </c>
      <c r="C32" t="inlineStr">
        <is>
          <t>2015（基準）</t>
        </is>
      </c>
      <c r="D32" t="n">
        <v>99563</v>
      </c>
      <c r="E32" t="n">
        <v>2195253</v>
      </c>
      <c r="F32" t="n">
        <v>22.04888362142563</v>
      </c>
      <c r="G32" t="n">
        <v>72.88887138832057</v>
      </c>
    </row>
    <row r="33">
      <c r="A33" t="inlineStr">
        <is>
          <t>鉄骨鉄筋コンクリート造</t>
        </is>
      </c>
      <c r="B33" t="inlineStr">
        <is>
          <t>工場及び作業場</t>
        </is>
      </c>
      <c r="C33" t="inlineStr">
        <is>
          <t>令和4年2月分</t>
        </is>
      </c>
      <c r="D33" t="n">
        <v>42149</v>
      </c>
      <c r="E33" t="n">
        <v>1962412</v>
      </c>
      <c r="F33" t="n">
        <v>46.55892191985575</v>
      </c>
      <c r="G33" t="n">
        <v>153.913791285901</v>
      </c>
    </row>
    <row r="34">
      <c r="A34" t="inlineStr">
        <is>
          <t>鉄骨鉄筋コンクリート造</t>
        </is>
      </c>
      <c r="B34" t="inlineStr">
        <is>
          <t>工場及び作業場</t>
        </is>
      </c>
      <c r="C34" t="inlineStr">
        <is>
          <t>令和4年5月分</t>
        </is>
      </c>
      <c r="D34" t="n">
        <v>233702</v>
      </c>
      <c r="E34" t="n">
        <v>16079466</v>
      </c>
      <c r="F34" t="n">
        <v>68.80328794789946</v>
      </c>
      <c r="G34" t="n">
        <v>227.4488855052414</v>
      </c>
    </row>
    <row r="35">
      <c r="A35" t="inlineStr">
        <is>
          <t>鉄骨鉄筋コンクリート造</t>
        </is>
      </c>
      <c r="B35" t="inlineStr">
        <is>
          <t>工場及び作業場</t>
        </is>
      </c>
      <c r="C35" t="inlineStr">
        <is>
          <t>令和4年8月分</t>
        </is>
      </c>
      <c r="D35" t="n">
        <v>540</v>
      </c>
      <c r="E35" t="n">
        <v>10000</v>
      </c>
      <c r="F35" t="n">
        <v>18.51851851851852</v>
      </c>
      <c r="G35" t="n">
        <v>61.21824296296296</v>
      </c>
    </row>
    <row r="36">
      <c r="A36" t="inlineStr">
        <is>
          <t>鉄骨鉄筋コンクリート造</t>
        </is>
      </c>
      <c r="B36" t="inlineStr">
        <is>
          <t>工場及び作業場</t>
        </is>
      </c>
      <c r="C36" t="inlineStr">
        <is>
          <t>令和4年11月分</t>
        </is>
      </c>
      <c r="D36" t="n">
        <v>0</v>
      </c>
      <c r="E36" t="n">
        <v>0</v>
      </c>
      <c r="F36" t="e">
        <v>#DIV/0!</v>
      </c>
      <c r="G36" t="e">
        <v>#DIV/0!</v>
      </c>
    </row>
    <row r="37">
      <c r="A37" t="inlineStr">
        <is>
          <t>鉄骨鉄筋コンクリート造</t>
        </is>
      </c>
      <c r="B37" t="inlineStr">
        <is>
          <t>工場及び作業場</t>
        </is>
      </c>
      <c r="C37" t="inlineStr">
        <is>
          <t>令和5年2月分</t>
        </is>
      </c>
      <c r="D37" t="n">
        <v>779</v>
      </c>
      <c r="E37" t="n">
        <v>15879</v>
      </c>
      <c r="F37" t="n">
        <v>20.38382541720154</v>
      </c>
      <c r="G37" t="n">
        <v>67.38454675286263</v>
      </c>
    </row>
    <row r="38">
      <c r="A38" t="inlineStr">
        <is>
          <t>鉄骨鉄筋コンクリート造</t>
        </is>
      </c>
      <c r="B38" t="inlineStr">
        <is>
          <t>工場及び作業場</t>
        </is>
      </c>
      <c r="C38" t="inlineStr">
        <is>
          <t>令和5年5月分</t>
        </is>
      </c>
      <c r="D38" t="n">
        <v>0</v>
      </c>
      <c r="E38" t="n">
        <v>0</v>
      </c>
      <c r="F38" t="e">
        <v>#DIV/0!</v>
      </c>
      <c r="G38" t="e">
        <v>#DIV/0!</v>
      </c>
    </row>
    <row r="39">
      <c r="A39" t="inlineStr">
        <is>
          <t>鉄骨鉄筋コンクリート造</t>
        </is>
      </c>
      <c r="B39" t="inlineStr">
        <is>
          <t>工場及び作業場</t>
        </is>
      </c>
      <c r="C39" t="inlineStr">
        <is>
          <t>令和5年8月分</t>
        </is>
      </c>
      <c r="D39" t="n">
        <v>22641</v>
      </c>
      <c r="E39" t="n">
        <v>315800</v>
      </c>
      <c r="F39" t="n">
        <v>13.94814716664458</v>
      </c>
      <c r="G39" t="n">
        <v>46.10957735506382</v>
      </c>
    </row>
    <row r="40">
      <c r="A40" t="inlineStr">
        <is>
          <t>鉄骨鉄筋コンクリート造</t>
        </is>
      </c>
      <c r="B40" t="inlineStr">
        <is>
          <t>工場及び作業場</t>
        </is>
      </c>
      <c r="C40" t="inlineStr">
        <is>
          <t>令和5年11月分</t>
        </is>
      </c>
      <c r="D40" t="n">
        <v>0</v>
      </c>
      <c r="E40" t="n">
        <v>0</v>
      </c>
      <c r="F40" t="e">
        <v>#DIV/0!</v>
      </c>
      <c r="G40" t="e">
        <v>#DIV/0!</v>
      </c>
    </row>
    <row r="41">
      <c r="A41" t="inlineStr">
        <is>
          <t>鉄骨鉄筋コンクリート造</t>
        </is>
      </c>
      <c r="B41" t="inlineStr">
        <is>
          <t>工場及び作業場</t>
        </is>
      </c>
      <c r="C41" t="inlineStr">
        <is>
          <t>令和6年2月分</t>
        </is>
      </c>
      <c r="D41" t="n">
        <v>10032</v>
      </c>
      <c r="E41" t="n">
        <v>459980</v>
      </c>
      <c r="F41" t="n">
        <v>45.85127591706539</v>
      </c>
      <c r="G41" t="n">
        <v>151.5744656596491</v>
      </c>
    </row>
    <row r="42">
      <c r="A42" t="inlineStr">
        <is>
          <t>鉄骨鉄筋コンクリート造</t>
        </is>
      </c>
      <c r="B42" t="inlineStr">
        <is>
          <t>工場及び作業場</t>
        </is>
      </c>
      <c r="C42" t="inlineStr">
        <is>
          <t>令和6年5月分</t>
        </is>
      </c>
      <c r="D42" t="n">
        <v>0</v>
      </c>
      <c r="E42" t="n">
        <v>0</v>
      </c>
      <c r="F42" t="e">
        <v>#DIV/0!</v>
      </c>
      <c r="G42" t="e">
        <v>#DIV/0!</v>
      </c>
    </row>
    <row r="43">
      <c r="A43" t="inlineStr">
        <is>
          <t>鉄骨鉄筋コンクリート造</t>
        </is>
      </c>
      <c r="B43" t="inlineStr">
        <is>
          <t>工場及び作業場</t>
        </is>
      </c>
      <c r="C43" t="inlineStr">
        <is>
          <t>令和6年8月分</t>
        </is>
      </c>
      <c r="D43" t="n">
        <v>39086</v>
      </c>
      <c r="E43" t="n">
        <v>2340000</v>
      </c>
      <c r="F43" t="n">
        <v>59.86798342117383</v>
      </c>
      <c r="G43" t="n">
        <v>197.9106887581231</v>
      </c>
    </row>
    <row r="44">
      <c r="A44" t="inlineStr">
        <is>
          <t>鉄骨鉄筋コンクリート造</t>
        </is>
      </c>
      <c r="B44" t="inlineStr">
        <is>
          <t>工場及び作業場</t>
        </is>
      </c>
      <c r="C44" t="inlineStr">
        <is>
          <t>令和6年11月分</t>
        </is>
      </c>
      <c r="D44" t="n">
        <v>181</v>
      </c>
      <c r="E44" t="n">
        <v>6000</v>
      </c>
      <c r="F44" t="n">
        <v>33.14917127071823</v>
      </c>
      <c r="G44" t="n">
        <v>109.5840371270718</v>
      </c>
    </row>
    <row r="45">
      <c r="A45" t="inlineStr">
        <is>
          <t>鉄骨鉄筋コンクリート造</t>
        </is>
      </c>
      <c r="B45" t="inlineStr">
        <is>
          <t>工場及び作業場</t>
        </is>
      </c>
      <c r="C45" t="inlineStr">
        <is>
          <t>令和7年2月分</t>
        </is>
      </c>
      <c r="D45" t="n">
        <v>0</v>
      </c>
      <c r="E45" t="n">
        <v>0</v>
      </c>
      <c r="F45" t="e">
        <v>#DIV/0!</v>
      </c>
      <c r="G45" t="e">
        <v>#DIV/0!</v>
      </c>
    </row>
    <row r="46">
      <c r="A46" t="inlineStr">
        <is>
          <t>鉄骨鉄筋コンクリート造</t>
        </is>
      </c>
      <c r="B46" t="inlineStr">
        <is>
          <t>工場及び作業場</t>
        </is>
      </c>
      <c r="C46" t="inlineStr">
        <is>
          <t>令和7年5月分</t>
        </is>
      </c>
      <c r="D46" t="n">
        <v>1096</v>
      </c>
      <c r="E46" t="n">
        <v>70000</v>
      </c>
      <c r="F46" t="n">
        <v>63.86861313868613</v>
      </c>
      <c r="G46" t="n">
        <v>211.1359109489051</v>
      </c>
    </row>
    <row r="47">
      <c r="A47" t="inlineStr">
        <is>
          <t>鉄骨鉄筋コンクリート造</t>
        </is>
      </c>
      <c r="B47" t="inlineStr">
        <is>
          <t>倉庫</t>
        </is>
      </c>
      <c r="C47" t="inlineStr">
        <is>
          <t>2015（基準）</t>
        </is>
      </c>
      <c r="D47" t="n">
        <v>560842</v>
      </c>
      <c r="E47" t="n">
        <v>5842073</v>
      </c>
      <c r="F47" t="n">
        <v>10.41661109546004</v>
      </c>
      <c r="G47" t="n">
        <v>34.4350779601987</v>
      </c>
    </row>
    <row r="48">
      <c r="A48" t="inlineStr">
        <is>
          <t>鉄骨鉄筋コンクリート造</t>
        </is>
      </c>
      <c r="B48" t="inlineStr">
        <is>
          <t>倉庫</t>
        </is>
      </c>
      <c r="C48" t="inlineStr">
        <is>
          <t>令和4年2月分</t>
        </is>
      </c>
      <c r="D48" t="n">
        <v>58534</v>
      </c>
      <c r="E48" t="n">
        <v>780080</v>
      </c>
      <c r="F48" t="n">
        <v>13.32695527385793</v>
      </c>
      <c r="G48" t="n">
        <v>44.05605043922506</v>
      </c>
    </row>
    <row r="49">
      <c r="A49" t="inlineStr">
        <is>
          <t>鉄骨鉄筋コンクリート造</t>
        </is>
      </c>
      <c r="B49" t="inlineStr">
        <is>
          <t>倉庫</t>
        </is>
      </c>
      <c r="C49" t="inlineStr">
        <is>
          <t>令和4年5月分</t>
        </is>
      </c>
      <c r="D49" t="n">
        <v>485</v>
      </c>
      <c r="E49" t="n">
        <v>5600</v>
      </c>
      <c r="F49" t="n">
        <v>11.54639175257732</v>
      </c>
      <c r="G49" t="n">
        <v>38.16989004536082</v>
      </c>
    </row>
    <row r="50">
      <c r="A50" t="inlineStr">
        <is>
          <t>鉄骨鉄筋コンクリート造</t>
        </is>
      </c>
      <c r="B50" t="inlineStr">
        <is>
          <t>倉庫</t>
        </is>
      </c>
      <c r="C50" t="inlineStr">
        <is>
          <t>令和4年8月分</t>
        </is>
      </c>
      <c r="D50" t="n">
        <v>73357</v>
      </c>
      <c r="E50" t="n">
        <v>1094000</v>
      </c>
      <c r="F50" t="n">
        <v>14.91336886732009</v>
      </c>
      <c r="G50" t="n">
        <v>49.30039289065801</v>
      </c>
    </row>
    <row r="51">
      <c r="A51" t="inlineStr">
        <is>
          <t>鉄骨鉄筋コンクリート造</t>
        </is>
      </c>
      <c r="B51" t="inlineStr">
        <is>
          <t>倉庫</t>
        </is>
      </c>
      <c r="C51" t="inlineStr">
        <is>
          <t>令和4年11月分</t>
        </is>
      </c>
      <c r="D51" t="n">
        <v>25992</v>
      </c>
      <c r="E51" t="n">
        <v>350320</v>
      </c>
      <c r="F51" t="n">
        <v>13.47799322868575</v>
      </c>
      <c r="G51" t="n">
        <v>44.5553494628501</v>
      </c>
    </row>
    <row r="52">
      <c r="A52" t="inlineStr">
        <is>
          <t>鉄骨鉄筋コンクリート造</t>
        </is>
      </c>
      <c r="B52" t="inlineStr">
        <is>
          <t>倉庫</t>
        </is>
      </c>
      <c r="C52" t="inlineStr">
        <is>
          <t>令和5年2月分</t>
        </is>
      </c>
      <c r="D52" t="n">
        <v>438</v>
      </c>
      <c r="E52" t="n">
        <v>4533</v>
      </c>
      <c r="F52" t="n">
        <v>10.34931506849315</v>
      </c>
      <c r="G52" t="n">
        <v>34.21261175561644</v>
      </c>
    </row>
    <row r="53">
      <c r="A53" t="inlineStr">
        <is>
          <t>鉄骨鉄筋コンクリート造</t>
        </is>
      </c>
      <c r="B53" t="inlineStr">
        <is>
          <t>倉庫</t>
        </is>
      </c>
      <c r="C53" t="inlineStr">
        <is>
          <t>令和5年5月分</t>
        </is>
      </c>
      <c r="D53" t="n">
        <v>76510</v>
      </c>
      <c r="E53" t="n">
        <v>1550000</v>
      </c>
      <c r="F53" t="n">
        <v>20.25878970069272</v>
      </c>
      <c r="G53" t="n">
        <v>66.97120554175925</v>
      </c>
    </row>
    <row r="54">
      <c r="A54" t="inlineStr">
        <is>
          <t>鉄骨鉄筋コンクリート造</t>
        </is>
      </c>
      <c r="B54" t="inlineStr">
        <is>
          <t>倉庫</t>
        </is>
      </c>
      <c r="C54" t="inlineStr">
        <is>
          <t>令和5年8月分</t>
        </is>
      </c>
      <c r="D54" t="n">
        <v>72696</v>
      </c>
      <c r="E54" t="n">
        <v>1100500</v>
      </c>
      <c r="F54" t="n">
        <v>15.1383845053373</v>
      </c>
      <c r="G54" t="n">
        <v>50.04424623858259</v>
      </c>
    </row>
    <row r="55">
      <c r="A55" t="inlineStr">
        <is>
          <t>鉄骨鉄筋コンクリート造</t>
        </is>
      </c>
      <c r="B55" t="inlineStr">
        <is>
          <t>倉庫</t>
        </is>
      </c>
      <c r="C55" t="inlineStr">
        <is>
          <t>令和5年11月分</t>
        </is>
      </c>
      <c r="D55" t="n">
        <v>0</v>
      </c>
      <c r="E55" t="n">
        <v>0</v>
      </c>
      <c r="F55" t="e">
        <v>#DIV/0!</v>
      </c>
      <c r="G55" t="e">
        <v>#DIV/0!</v>
      </c>
    </row>
    <row r="56">
      <c r="A56" t="inlineStr">
        <is>
          <t>鉄骨鉄筋コンクリート造</t>
        </is>
      </c>
      <c r="B56" t="inlineStr">
        <is>
          <t>倉庫</t>
        </is>
      </c>
      <c r="C56" t="inlineStr">
        <is>
          <t>令和6年2月分</t>
        </is>
      </c>
      <c r="D56" t="n">
        <v>20271</v>
      </c>
      <c r="E56" t="n">
        <v>500800</v>
      </c>
      <c r="F56" t="n">
        <v>24.70524394455133</v>
      </c>
      <c r="G56" t="n">
        <v>81.6702278178679</v>
      </c>
    </row>
    <row r="57">
      <c r="A57" t="inlineStr">
        <is>
          <t>鉄骨鉄筋コンクリート造</t>
        </is>
      </c>
      <c r="B57" t="inlineStr">
        <is>
          <t>倉庫</t>
        </is>
      </c>
      <c r="C57" t="inlineStr">
        <is>
          <t>令和6年5月分</t>
        </is>
      </c>
      <c r="D57" t="n">
        <v>55</v>
      </c>
      <c r="E57" t="n">
        <v>600</v>
      </c>
      <c r="F57" t="n">
        <v>10.90909090909091</v>
      </c>
      <c r="G57" t="n">
        <v>36.0631104</v>
      </c>
    </row>
    <row r="58">
      <c r="A58" t="inlineStr">
        <is>
          <t>鉄骨鉄筋コンクリート造</t>
        </is>
      </c>
      <c r="B58" t="inlineStr">
        <is>
          <t>倉庫</t>
        </is>
      </c>
      <c r="C58" t="inlineStr">
        <is>
          <t>令和6年8月分</t>
        </is>
      </c>
      <c r="D58" t="n">
        <v>41165</v>
      </c>
      <c r="E58" t="n">
        <v>1500630</v>
      </c>
      <c r="F58" t="n">
        <v>36.45402647880481</v>
      </c>
      <c r="G58" t="n">
        <v>120.5091782977189</v>
      </c>
    </row>
    <row r="59">
      <c r="A59" t="inlineStr">
        <is>
          <t>鉄骨鉄筋コンクリート造</t>
        </is>
      </c>
      <c r="B59" t="inlineStr">
        <is>
          <t>倉庫</t>
        </is>
      </c>
      <c r="C59" t="inlineStr">
        <is>
          <t>令和6年11月分</t>
        </is>
      </c>
      <c r="D59" t="n">
        <v>438</v>
      </c>
      <c r="E59" t="n">
        <v>18000</v>
      </c>
      <c r="F59" t="n">
        <v>41.0958904109589</v>
      </c>
      <c r="G59" t="n">
        <v>135.8541830136986</v>
      </c>
    </row>
    <row r="60">
      <c r="A60" t="inlineStr">
        <is>
          <t>鉄骨鉄筋コンクリート造</t>
        </is>
      </c>
      <c r="B60" t="inlineStr">
        <is>
          <t>倉庫</t>
        </is>
      </c>
      <c r="C60" t="inlineStr">
        <is>
          <t>令和7年2月分</t>
        </is>
      </c>
      <c r="D60" t="n">
        <v>188</v>
      </c>
      <c r="E60" t="n">
        <v>16950</v>
      </c>
      <c r="F60" t="n">
        <v>90.15957446808511</v>
      </c>
      <c r="G60" t="n">
        <v>298.0481797021276</v>
      </c>
    </row>
    <row r="61">
      <c r="A61" t="inlineStr">
        <is>
          <t>鉄骨鉄筋コンクリート造</t>
        </is>
      </c>
      <c r="B61" t="inlineStr">
        <is>
          <t>倉庫</t>
        </is>
      </c>
      <c r="C61" t="inlineStr">
        <is>
          <t>令和7年5月分</t>
        </is>
      </c>
      <c r="D61" t="n">
        <v>387</v>
      </c>
      <c r="E61" t="n">
        <v>12085</v>
      </c>
      <c r="F61" t="n">
        <v>31.22739018087855</v>
      </c>
      <c r="G61" t="n">
        <v>103.2310417963824</v>
      </c>
    </row>
    <row r="62">
      <c r="A62" t="inlineStr">
        <is>
          <t>鉄骨鉄筋コンクリート造</t>
        </is>
      </c>
      <c r="B62" t="inlineStr">
        <is>
          <t>学校の校舎</t>
        </is>
      </c>
      <c r="C62" t="inlineStr">
        <is>
          <t>2015（基準）</t>
        </is>
      </c>
      <c r="D62" t="n">
        <v>266605</v>
      </c>
      <c r="E62" t="n">
        <v>8404400</v>
      </c>
      <c r="F62" t="n">
        <v>31.52378987640892</v>
      </c>
      <c r="G62" t="n">
        <v>104.2108754994392</v>
      </c>
    </row>
    <row r="63">
      <c r="A63" t="inlineStr">
        <is>
          <t>鉄骨鉄筋コンクリート造</t>
        </is>
      </c>
      <c r="B63" t="inlineStr">
        <is>
          <t>学校の校舎</t>
        </is>
      </c>
      <c r="C63" t="inlineStr">
        <is>
          <t>令和4年2月分</t>
        </is>
      </c>
      <c r="D63" t="n">
        <v>31335</v>
      </c>
      <c r="E63" t="n">
        <v>1411293</v>
      </c>
      <c r="F63" t="n">
        <v>45.03887027285783</v>
      </c>
      <c r="G63" t="n">
        <v>148.8888271696237</v>
      </c>
    </row>
    <row r="64">
      <c r="A64" t="inlineStr">
        <is>
          <t>鉄骨鉄筋コンクリート造</t>
        </is>
      </c>
      <c r="B64" t="inlineStr">
        <is>
          <t>学校の校舎</t>
        </is>
      </c>
      <c r="C64" t="inlineStr">
        <is>
          <t>令和4年5月分</t>
        </is>
      </c>
      <c r="D64" t="n">
        <v>7137</v>
      </c>
      <c r="E64" t="n">
        <v>235000</v>
      </c>
      <c r="F64" t="n">
        <v>32.92700014011489</v>
      </c>
      <c r="G64" t="n">
        <v>108.8495871094297</v>
      </c>
    </row>
    <row r="65">
      <c r="A65" t="inlineStr">
        <is>
          <t>鉄骨鉄筋コンクリート造</t>
        </is>
      </c>
      <c r="B65" t="inlineStr">
        <is>
          <t>学校の校舎</t>
        </is>
      </c>
      <c r="C65" t="inlineStr">
        <is>
          <t>令和4年8月分</t>
        </is>
      </c>
      <c r="D65" t="n">
        <v>9146</v>
      </c>
      <c r="E65" t="n">
        <v>400000</v>
      </c>
      <c r="F65" t="n">
        <v>43.73496610540127</v>
      </c>
      <c r="G65" t="n">
        <v>144.5784001749399</v>
      </c>
    </row>
    <row r="66">
      <c r="A66" t="inlineStr">
        <is>
          <t>鉄骨鉄筋コンクリート造</t>
        </is>
      </c>
      <c r="B66" t="inlineStr">
        <is>
          <t>学校の校舎</t>
        </is>
      </c>
      <c r="C66" t="inlineStr">
        <is>
          <t>令和4年11月分</t>
        </is>
      </c>
      <c r="D66" t="n">
        <v>13024</v>
      </c>
      <c r="E66" t="n">
        <v>403300</v>
      </c>
      <c r="F66" t="n">
        <v>30.96590909090909</v>
      </c>
      <c r="G66" t="n">
        <v>102.3666415</v>
      </c>
    </row>
    <row r="67">
      <c r="A67" t="inlineStr">
        <is>
          <t>鉄骨鉄筋コンクリート造</t>
        </is>
      </c>
      <c r="B67" t="inlineStr">
        <is>
          <t>学校の校舎</t>
        </is>
      </c>
      <c r="C67" t="inlineStr">
        <is>
          <t>令和5年2月分</t>
        </is>
      </c>
      <c r="D67" t="n">
        <v>3518</v>
      </c>
      <c r="E67" t="n">
        <v>225292</v>
      </c>
      <c r="F67" t="n">
        <v>64.03979533826038</v>
      </c>
      <c r="G67" t="n">
        <v>211.7018025170665</v>
      </c>
    </row>
    <row r="68">
      <c r="A68" t="inlineStr">
        <is>
          <t>鉄骨鉄筋コンクリート造</t>
        </is>
      </c>
      <c r="B68" t="inlineStr">
        <is>
          <t>学校の校舎</t>
        </is>
      </c>
      <c r="C68" t="inlineStr">
        <is>
          <t>令和5年5月分</t>
        </is>
      </c>
      <c r="D68" t="n">
        <v>3068</v>
      </c>
      <c r="E68" t="n">
        <v>78000</v>
      </c>
      <c r="F68" t="n">
        <v>25.42372881355932</v>
      </c>
      <c r="G68" t="n">
        <v>84.04538440677966</v>
      </c>
    </row>
    <row r="69">
      <c r="A69" t="inlineStr">
        <is>
          <t>鉄骨鉄筋コンクリート造</t>
        </is>
      </c>
      <c r="B69" t="inlineStr">
        <is>
          <t>学校の校舎</t>
        </is>
      </c>
      <c r="C69" t="inlineStr">
        <is>
          <t>令和5年8月分</t>
        </is>
      </c>
      <c r="D69" t="n">
        <v>8672</v>
      </c>
      <c r="E69" t="n">
        <v>335000</v>
      </c>
      <c r="F69" t="n">
        <v>38.63007380073801</v>
      </c>
      <c r="G69" t="n">
        <v>127.7027231549816</v>
      </c>
    </row>
    <row r="70">
      <c r="A70" t="inlineStr">
        <is>
          <t>鉄骨鉄筋コンクリート造</t>
        </is>
      </c>
      <c r="B70" t="inlineStr">
        <is>
          <t>学校の校舎</t>
        </is>
      </c>
      <c r="C70" t="inlineStr">
        <is>
          <t>令和5年11月分</t>
        </is>
      </c>
      <c r="D70" t="n">
        <v>15400</v>
      </c>
      <c r="E70" t="n">
        <v>859050</v>
      </c>
      <c r="F70" t="n">
        <v>55.78246753246754</v>
      </c>
      <c r="G70" t="n">
        <v>184.4048511257143</v>
      </c>
    </row>
    <row r="71">
      <c r="A71" t="inlineStr">
        <is>
          <t>鉄骨鉄筋コンクリート造</t>
        </is>
      </c>
      <c r="B71" t="inlineStr">
        <is>
          <t>学校の校舎</t>
        </is>
      </c>
      <c r="C71" t="inlineStr">
        <is>
          <t>令和6年2月分</t>
        </is>
      </c>
      <c r="D71" t="n">
        <v>15055</v>
      </c>
      <c r="E71" t="n">
        <v>410000</v>
      </c>
      <c r="F71" t="n">
        <v>27.23347725008303</v>
      </c>
      <c r="G71" t="n">
        <v>90.02802385918299</v>
      </c>
    </row>
    <row r="72">
      <c r="A72" t="inlineStr">
        <is>
          <t>鉄骨鉄筋コンクリート造</t>
        </is>
      </c>
      <c r="B72" t="inlineStr">
        <is>
          <t>学校の校舎</t>
        </is>
      </c>
      <c r="C72" t="inlineStr">
        <is>
          <t>令和6年5月分</t>
        </is>
      </c>
      <c r="D72" t="n">
        <v>34043</v>
      </c>
      <c r="E72" t="n">
        <v>1561518</v>
      </c>
      <c r="F72" t="n">
        <v>45.86898921951649</v>
      </c>
      <c r="G72" t="n">
        <v>151.633022031318</v>
      </c>
    </row>
    <row r="73">
      <c r="A73" t="inlineStr">
        <is>
          <t>鉄骨鉄筋コンクリート造</t>
        </is>
      </c>
      <c r="B73" t="inlineStr">
        <is>
          <t>学校の校舎</t>
        </is>
      </c>
      <c r="C73" t="inlineStr">
        <is>
          <t>令和6年8月分</t>
        </is>
      </c>
      <c r="D73" t="n">
        <v>11391</v>
      </c>
      <c r="E73" t="n">
        <v>786964</v>
      </c>
      <c r="F73" t="n">
        <v>69.08647177596347</v>
      </c>
      <c r="G73" t="n">
        <v>228.38503039028</v>
      </c>
    </row>
    <row r="74">
      <c r="A74" t="inlineStr">
        <is>
          <t>鉄骨鉄筋コンクリート造</t>
        </is>
      </c>
      <c r="B74" t="inlineStr">
        <is>
          <t>学校の校舎</t>
        </is>
      </c>
      <c r="C74" t="inlineStr">
        <is>
          <t>令和6年11月分</t>
        </is>
      </c>
      <c r="D74" t="n">
        <v>2491</v>
      </c>
      <c r="E74" t="n">
        <v>100000</v>
      </c>
      <c r="F74" t="n">
        <v>40.14452027298274</v>
      </c>
      <c r="G74" t="n">
        <v>132.7091577679647</v>
      </c>
    </row>
    <row r="75">
      <c r="A75" t="inlineStr">
        <is>
          <t>鉄骨鉄筋コンクリート造</t>
        </is>
      </c>
      <c r="B75" t="inlineStr">
        <is>
          <t>学校の校舎</t>
        </is>
      </c>
      <c r="C75" t="inlineStr">
        <is>
          <t>令和7年2月分</t>
        </is>
      </c>
      <c r="D75" t="n">
        <v>0</v>
      </c>
      <c r="E75" t="n">
        <v>0</v>
      </c>
      <c r="F75" t="e">
        <v>#DIV/0!</v>
      </c>
      <c r="G75" t="e">
        <v>#DIV/0!</v>
      </c>
    </row>
    <row r="76">
      <c r="A76" t="inlineStr">
        <is>
          <t>鉄骨鉄筋コンクリート造</t>
        </is>
      </c>
      <c r="B76" t="inlineStr">
        <is>
          <t>学校の校舎</t>
        </is>
      </c>
      <c r="C76" t="inlineStr">
        <is>
          <t>令和7年5月分</t>
        </is>
      </c>
      <c r="D76" t="n">
        <v>16153</v>
      </c>
      <c r="E76" t="n">
        <v>560000</v>
      </c>
      <c r="F76" t="n">
        <v>34.66848263480468</v>
      </c>
      <c r="G76" t="n">
        <v>114.6065540271157</v>
      </c>
    </row>
    <row r="77">
      <c r="A77" t="inlineStr">
        <is>
          <t>鉄骨鉄筋コンクリート造</t>
        </is>
      </c>
      <c r="B77" t="inlineStr">
        <is>
          <t>病院・診療所</t>
        </is>
      </c>
      <c r="C77" t="inlineStr">
        <is>
          <t>2015（基準）</t>
        </is>
      </c>
      <c r="D77" t="n">
        <v>314681</v>
      </c>
      <c r="E77" t="n">
        <v>7514820</v>
      </c>
      <c r="F77" t="n">
        <v>23.88075543169114</v>
      </c>
      <c r="G77" t="n">
        <v>78.94464596044375</v>
      </c>
    </row>
    <row r="78">
      <c r="A78" t="inlineStr">
        <is>
          <t>鉄骨鉄筋コンクリート造</t>
        </is>
      </c>
      <c r="B78" t="inlineStr">
        <is>
          <t>病院・診療所</t>
        </is>
      </c>
      <c r="C78" t="inlineStr">
        <is>
          <t>令和4年2月分</t>
        </is>
      </c>
      <c r="D78" t="n">
        <v>7101</v>
      </c>
      <c r="E78" t="n">
        <v>250000</v>
      </c>
      <c r="F78" t="n">
        <v>35.20630897056753</v>
      </c>
      <c r="G78" t="n">
        <v>116.3844923250246</v>
      </c>
    </row>
    <row r="79">
      <c r="A79" t="inlineStr">
        <is>
          <t>鉄骨鉄筋コンクリート造</t>
        </is>
      </c>
      <c r="B79" t="inlineStr">
        <is>
          <t>病院・診療所</t>
        </is>
      </c>
      <c r="C79" t="inlineStr">
        <is>
          <t>令和4年5月分</t>
        </is>
      </c>
      <c r="D79" t="n">
        <v>0</v>
      </c>
      <c r="E79" t="n">
        <v>0</v>
      </c>
      <c r="F79" t="e">
        <v>#DIV/0!</v>
      </c>
      <c r="G79" t="e">
        <v>#DIV/0!</v>
      </c>
    </row>
    <row r="80">
      <c r="A80" t="inlineStr">
        <is>
          <t>鉄骨鉄筋コンクリート造</t>
        </is>
      </c>
      <c r="B80" t="inlineStr">
        <is>
          <t>病院・診療所</t>
        </is>
      </c>
      <c r="C80" t="inlineStr">
        <is>
          <t>令和4年8月分</t>
        </is>
      </c>
      <c r="D80" t="n">
        <v>0</v>
      </c>
      <c r="E80" t="n">
        <v>0</v>
      </c>
      <c r="F80" t="e">
        <v>#DIV/0!</v>
      </c>
      <c r="G80" t="e">
        <v>#DIV/0!</v>
      </c>
    </row>
    <row r="81">
      <c r="A81" t="inlineStr">
        <is>
          <t>鉄骨鉄筋コンクリート造</t>
        </is>
      </c>
      <c r="B81" t="inlineStr">
        <is>
          <t>病院・診療所</t>
        </is>
      </c>
      <c r="C81" t="inlineStr">
        <is>
          <t>令和4年11月分</t>
        </is>
      </c>
      <c r="D81" t="n">
        <v>45264</v>
      </c>
      <c r="E81" t="n">
        <v>1927700</v>
      </c>
      <c r="F81" t="n">
        <v>42.58792859667727</v>
      </c>
      <c r="G81" t="n">
        <v>140.7865406465182</v>
      </c>
    </row>
    <row r="82">
      <c r="A82" t="inlineStr">
        <is>
          <t>鉄骨鉄筋コンクリート造</t>
        </is>
      </c>
      <c r="B82" t="inlineStr">
        <is>
          <t>病院・診療所</t>
        </is>
      </c>
      <c r="C82" t="inlineStr">
        <is>
          <t>令和5年2月分</t>
        </is>
      </c>
      <c r="D82" t="n">
        <v>0</v>
      </c>
      <c r="E82" t="n">
        <v>0</v>
      </c>
      <c r="F82" t="e">
        <v>#DIV/0!</v>
      </c>
      <c r="G82" t="e">
        <v>#DIV/0!</v>
      </c>
    </row>
    <row r="83">
      <c r="A83" t="inlineStr">
        <is>
          <t>鉄骨鉄筋コンクリート造</t>
        </is>
      </c>
      <c r="B83" t="inlineStr">
        <is>
          <t>病院・診療所</t>
        </is>
      </c>
      <c r="C83" t="inlineStr">
        <is>
          <t>令和5年5月分</t>
        </is>
      </c>
      <c r="D83" t="n">
        <v>1698</v>
      </c>
      <c r="E83" t="n">
        <v>65000</v>
      </c>
      <c r="F83" t="n">
        <v>38.28032979976443</v>
      </c>
      <c r="G83" t="n">
        <v>126.5465446407538</v>
      </c>
    </row>
    <row r="84">
      <c r="A84" t="inlineStr">
        <is>
          <t>鉄骨鉄筋コンクリート造</t>
        </is>
      </c>
      <c r="B84" t="inlineStr">
        <is>
          <t>病院・診療所</t>
        </is>
      </c>
      <c r="C84" t="inlineStr">
        <is>
          <t>令和5年8月分</t>
        </is>
      </c>
      <c r="D84" t="n">
        <v>233</v>
      </c>
      <c r="E84" t="n">
        <v>100000</v>
      </c>
      <c r="F84" t="n">
        <v>429.1845493562232</v>
      </c>
      <c r="G84" t="n">
        <v>1418.791896995708</v>
      </c>
    </row>
    <row r="85">
      <c r="A85" t="inlineStr">
        <is>
          <t>鉄骨鉄筋コンクリート造</t>
        </is>
      </c>
      <c r="B85" t="inlineStr">
        <is>
          <t>病院・診療所</t>
        </is>
      </c>
      <c r="C85" t="inlineStr">
        <is>
          <t>令和5年11月分</t>
        </is>
      </c>
      <c r="D85" t="n">
        <v>0</v>
      </c>
      <c r="E85" t="n">
        <v>0</v>
      </c>
      <c r="F85" t="e">
        <v>#DIV/0!</v>
      </c>
      <c r="G85" t="e">
        <v>#DIV/0!</v>
      </c>
    </row>
    <row r="86">
      <c r="A86" t="inlineStr">
        <is>
          <t>鉄骨鉄筋コンクリート造</t>
        </is>
      </c>
      <c r="B86" t="inlineStr">
        <is>
          <t>病院・診療所</t>
        </is>
      </c>
      <c r="C86" t="inlineStr">
        <is>
          <t>令和6年2月分</t>
        </is>
      </c>
      <c r="D86" t="n">
        <v>0</v>
      </c>
      <c r="E86" t="n">
        <v>0</v>
      </c>
      <c r="F86" t="e">
        <v>#DIV/0!</v>
      </c>
      <c r="G86" t="e">
        <v>#DIV/0!</v>
      </c>
    </row>
    <row r="87">
      <c r="A87" t="inlineStr">
        <is>
          <t>鉄骨鉄筋コンクリート造</t>
        </is>
      </c>
      <c r="B87" t="inlineStr">
        <is>
          <t>病院・診療所</t>
        </is>
      </c>
      <c r="C87" t="inlineStr">
        <is>
          <t>令和6年5月分</t>
        </is>
      </c>
      <c r="D87" t="n">
        <v>0</v>
      </c>
      <c r="E87" t="n">
        <v>0</v>
      </c>
      <c r="F87" t="e">
        <v>#DIV/0!</v>
      </c>
      <c r="G87" t="e">
        <v>#DIV/0!</v>
      </c>
    </row>
    <row r="88">
      <c r="A88" t="inlineStr">
        <is>
          <t>鉄骨鉄筋コンクリート造</t>
        </is>
      </c>
      <c r="B88" t="inlineStr">
        <is>
          <t>病院・診療所</t>
        </is>
      </c>
      <c r="C88" t="inlineStr">
        <is>
          <t>令和6年8月分</t>
        </is>
      </c>
      <c r="D88" t="n">
        <v>0</v>
      </c>
      <c r="E88" t="n">
        <v>0</v>
      </c>
      <c r="F88" t="e">
        <v>#DIV/0!</v>
      </c>
      <c r="G88" t="e">
        <v>#DIV/0!</v>
      </c>
    </row>
    <row r="89">
      <c r="A89" t="inlineStr">
        <is>
          <t>鉄骨鉄筋コンクリート造</t>
        </is>
      </c>
      <c r="B89" t="inlineStr">
        <is>
          <t>病院・診療所</t>
        </is>
      </c>
      <c r="C89" t="inlineStr">
        <is>
          <t>令和6年11月分</t>
        </is>
      </c>
      <c r="D89" t="n">
        <v>0</v>
      </c>
      <c r="E89" t="n">
        <v>0</v>
      </c>
      <c r="F89" t="e">
        <v>#DIV/0!</v>
      </c>
      <c r="G89" t="e">
        <v>#DIV/0!</v>
      </c>
    </row>
    <row r="90">
      <c r="A90" t="inlineStr">
        <is>
          <t>鉄骨鉄筋コンクリート造</t>
        </is>
      </c>
      <c r="B90" t="inlineStr">
        <is>
          <t>病院・診療所</t>
        </is>
      </c>
      <c r="C90" t="inlineStr">
        <is>
          <t>令和7年2月分</t>
        </is>
      </c>
      <c r="D90" t="n">
        <v>0</v>
      </c>
      <c r="E90" t="n">
        <v>0</v>
      </c>
      <c r="F90" t="e">
        <v>#DIV/0!</v>
      </c>
      <c r="G90" t="e">
        <v>#DIV/0!</v>
      </c>
    </row>
    <row r="91">
      <c r="A91" t="inlineStr">
        <is>
          <t>鉄骨鉄筋コンクリート造</t>
        </is>
      </c>
      <c r="B91" t="inlineStr">
        <is>
          <t>病院・診療所</t>
        </is>
      </c>
      <c r="C91" t="inlineStr">
        <is>
          <t>令和7年5月分</t>
        </is>
      </c>
      <c r="D91" t="n">
        <v>117</v>
      </c>
      <c r="E91" t="n">
        <v>10000</v>
      </c>
      <c r="F91" t="n">
        <v>85.47008547008546</v>
      </c>
      <c r="G91" t="n">
        <v>282.5457367521367</v>
      </c>
    </row>
    <row r="92">
      <c r="A92" t="inlineStr">
        <is>
          <t>鉄骨鉄筋コンクリート造</t>
        </is>
      </c>
      <c r="B92" t="inlineStr">
        <is>
          <t>その他</t>
        </is>
      </c>
      <c r="C92" t="inlineStr">
        <is>
          <t>2015（基準）</t>
        </is>
      </c>
      <c r="D92" t="n">
        <v>507097</v>
      </c>
      <c r="E92" t="n">
        <v>17314472</v>
      </c>
      <c r="F92" t="n">
        <v>34.1442998085179</v>
      </c>
      <c r="G92" t="n">
        <v>112.8737182398173</v>
      </c>
    </row>
    <row r="93">
      <c r="A93" t="inlineStr">
        <is>
          <t>鉄骨鉄筋コンクリート造</t>
        </is>
      </c>
      <c r="B93" t="inlineStr">
        <is>
          <t>その他</t>
        </is>
      </c>
      <c r="C93" t="inlineStr">
        <is>
          <t>令和4年2月分</t>
        </is>
      </c>
      <c r="D93" t="n">
        <v>50041</v>
      </c>
      <c r="E93" t="n">
        <v>2062198</v>
      </c>
      <c r="F93" t="n">
        <v>41.21016766251674</v>
      </c>
      <c r="G93" t="n">
        <v>136.231959051453</v>
      </c>
    </row>
    <row r="94">
      <c r="A94" t="inlineStr">
        <is>
          <t>鉄骨鉄筋コンクリート造</t>
        </is>
      </c>
      <c r="B94" t="inlineStr">
        <is>
          <t>その他</t>
        </is>
      </c>
      <c r="C94" t="inlineStr">
        <is>
          <t>令和4年5月分</t>
        </is>
      </c>
      <c r="D94" t="n">
        <v>8699</v>
      </c>
      <c r="E94" t="n">
        <v>257572</v>
      </c>
      <c r="F94" t="n">
        <v>29.60938038855041</v>
      </c>
      <c r="G94" t="n">
        <v>97.88224910088977</v>
      </c>
    </row>
    <row r="95">
      <c r="A95" t="inlineStr">
        <is>
          <t>鉄骨鉄筋コンクリート造</t>
        </is>
      </c>
      <c r="B95" t="inlineStr">
        <is>
          <t>その他</t>
        </is>
      </c>
      <c r="C95" t="inlineStr">
        <is>
          <t>令和4年8月分</t>
        </is>
      </c>
      <c r="D95" t="n">
        <v>11687</v>
      </c>
      <c r="E95" t="n">
        <v>363695</v>
      </c>
      <c r="F95" t="n">
        <v>31.11962009069907</v>
      </c>
      <c r="G95" t="n">
        <v>102.874777035886</v>
      </c>
    </row>
    <row r="96">
      <c r="A96" t="inlineStr">
        <is>
          <t>鉄骨鉄筋コンクリート造</t>
        </is>
      </c>
      <c r="B96" t="inlineStr">
        <is>
          <t>その他</t>
        </is>
      </c>
      <c r="C96" t="inlineStr">
        <is>
          <t>令和4年11月分</t>
        </is>
      </c>
      <c r="D96" t="n">
        <v>29941</v>
      </c>
      <c r="E96" t="n">
        <v>1871775</v>
      </c>
      <c r="F96" t="n">
        <v>62.51544704585685</v>
      </c>
      <c r="G96" t="n">
        <v>206.6626346143415</v>
      </c>
    </row>
    <row r="97">
      <c r="A97" t="inlineStr">
        <is>
          <t>鉄骨鉄筋コンクリート造</t>
        </is>
      </c>
      <c r="B97" t="inlineStr">
        <is>
          <t>その他</t>
        </is>
      </c>
      <c r="C97" t="inlineStr">
        <is>
          <t>令和5年2月分</t>
        </is>
      </c>
      <c r="D97" t="n">
        <v>9188</v>
      </c>
      <c r="E97" t="n">
        <v>483125</v>
      </c>
      <c r="F97" t="n">
        <v>52.58217239878102</v>
      </c>
      <c r="G97" t="n">
        <v>173.825363093165</v>
      </c>
    </row>
    <row r="98">
      <c r="A98" t="inlineStr">
        <is>
          <t>鉄骨鉄筋コンクリート造</t>
        </is>
      </c>
      <c r="B98" t="inlineStr">
        <is>
          <t>その他</t>
        </is>
      </c>
      <c r="C98" t="inlineStr">
        <is>
          <t>令和5年5月分</t>
        </is>
      </c>
      <c r="D98" t="n">
        <v>34727</v>
      </c>
      <c r="E98" t="n">
        <v>1085909</v>
      </c>
      <c r="F98" t="n">
        <v>31.26987646499841</v>
      </c>
      <c r="G98" t="n">
        <v>103.37149232223</v>
      </c>
    </row>
    <row r="99">
      <c r="A99" t="inlineStr">
        <is>
          <t>鉄骨鉄筋コンクリート造</t>
        </is>
      </c>
      <c r="B99" t="inlineStr">
        <is>
          <t>その他</t>
        </is>
      </c>
      <c r="C99" t="inlineStr">
        <is>
          <t>令和5年8月分</t>
        </is>
      </c>
      <c r="D99" t="n">
        <v>4314</v>
      </c>
      <c r="E99" t="n">
        <v>175486</v>
      </c>
      <c r="F99" t="n">
        <v>40.67825683820121</v>
      </c>
      <c r="G99" t="n">
        <v>134.4735761632638</v>
      </c>
    </row>
    <row r="100">
      <c r="A100" t="inlineStr">
        <is>
          <t>鉄骨鉄筋コンクリート造</t>
        </is>
      </c>
      <c r="B100" t="inlineStr">
        <is>
          <t>その他</t>
        </is>
      </c>
      <c r="C100" t="inlineStr">
        <is>
          <t>令和5年11月分</t>
        </is>
      </c>
      <c r="D100" t="n">
        <v>12774</v>
      </c>
      <c r="E100" t="n">
        <v>936374</v>
      </c>
      <c r="F100" t="n">
        <v>73.30311570377329</v>
      </c>
      <c r="G100" t="n">
        <v>242.324349143172</v>
      </c>
    </row>
    <row r="101">
      <c r="A101" t="inlineStr">
        <is>
          <t>鉄骨鉄筋コンクリート造</t>
        </is>
      </c>
      <c r="B101" t="inlineStr">
        <is>
          <t>その他</t>
        </is>
      </c>
      <c r="C101" t="inlineStr">
        <is>
          <t>令和6年2月分</t>
        </is>
      </c>
      <c r="D101" t="n">
        <v>1320</v>
      </c>
      <c r="E101" t="n">
        <v>58144</v>
      </c>
      <c r="F101" t="n">
        <v>44.04848484848485</v>
      </c>
      <c r="G101" t="n">
        <v>145.6148257706667</v>
      </c>
    </row>
    <row r="102">
      <c r="A102" t="inlineStr">
        <is>
          <t>鉄骨鉄筋コンクリート造</t>
        </is>
      </c>
      <c r="B102" t="inlineStr">
        <is>
          <t>その他</t>
        </is>
      </c>
      <c r="C102" t="inlineStr">
        <is>
          <t>令和6年5月分</t>
        </is>
      </c>
      <c r="D102" t="n">
        <v>968</v>
      </c>
      <c r="E102" t="n">
        <v>13963</v>
      </c>
      <c r="F102" t="n">
        <v>14.4245867768595</v>
      </c>
      <c r="G102" t="n">
        <v>47.68458432909091</v>
      </c>
    </row>
    <row r="103">
      <c r="A103" t="inlineStr">
        <is>
          <t>鉄骨鉄筋コンクリート造</t>
        </is>
      </c>
      <c r="B103" t="inlineStr">
        <is>
          <t>その他</t>
        </is>
      </c>
      <c r="C103" t="inlineStr">
        <is>
          <t>令和6年8月分</t>
        </is>
      </c>
      <c r="D103" t="n">
        <v>72472</v>
      </c>
      <c r="E103" t="n">
        <v>7480770</v>
      </c>
      <c r="F103" t="n">
        <v>103.2228998785738</v>
      </c>
      <c r="G103" t="n">
        <v>341.232726461839</v>
      </c>
    </row>
    <row r="104">
      <c r="A104" t="inlineStr">
        <is>
          <t>鉄骨鉄筋コンクリート造</t>
        </is>
      </c>
      <c r="B104" t="inlineStr">
        <is>
          <t>その他</t>
        </is>
      </c>
      <c r="C104" t="inlineStr">
        <is>
          <t>令和6年11月分</t>
        </is>
      </c>
      <c r="D104" t="n">
        <v>125722</v>
      </c>
      <c r="E104" t="n">
        <v>12810713</v>
      </c>
      <c r="F104" t="n">
        <v>101.8971460842176</v>
      </c>
      <c r="G104" t="n">
        <v>336.8500692956727</v>
      </c>
    </row>
    <row r="105">
      <c r="A105" t="inlineStr">
        <is>
          <t>鉄骨鉄筋コンクリート造</t>
        </is>
      </c>
      <c r="B105" t="inlineStr">
        <is>
          <t>その他</t>
        </is>
      </c>
      <c r="C105" t="inlineStr">
        <is>
          <t>令和7年2月分</t>
        </is>
      </c>
      <c r="D105" t="n">
        <v>66242</v>
      </c>
      <c r="E105" t="n">
        <v>4926065.96136</v>
      </c>
      <c r="F105" t="n">
        <v>74.36469251169953</v>
      </c>
      <c r="G105" t="n">
        <v>245.8336939585517</v>
      </c>
    </row>
    <row r="106">
      <c r="A106" t="inlineStr">
        <is>
          <t>鉄骨鉄筋コンクリート造</t>
        </is>
      </c>
      <c r="B106" t="inlineStr">
        <is>
          <t>その他</t>
        </is>
      </c>
      <c r="C106" t="inlineStr">
        <is>
          <t>令和7年5月分</t>
        </is>
      </c>
      <c r="D106" t="n">
        <v>11749</v>
      </c>
      <c r="E106" t="n">
        <v>267872</v>
      </c>
      <c r="F106" t="n">
        <v>22.7995574091412</v>
      </c>
      <c r="G106" t="n">
        <v>75.37043762572475</v>
      </c>
    </row>
    <row r="107">
      <c r="A107" t="inlineStr">
        <is>
          <t>鉄筋コンクリート造</t>
        </is>
      </c>
      <c r="B107" t="inlineStr">
        <is>
          <t>事務所</t>
        </is>
      </c>
      <c r="C107" t="inlineStr">
        <is>
          <t>2015（基準）</t>
        </is>
      </c>
      <c r="D107" t="n">
        <v>673470</v>
      </c>
      <c r="E107" t="n">
        <v>21399499</v>
      </c>
      <c r="F107" t="n">
        <v>31.77498478031687</v>
      </c>
      <c r="G107" t="n">
        <v>105.041271874998</v>
      </c>
    </row>
    <row r="108">
      <c r="A108" t="inlineStr">
        <is>
          <t>鉄筋コンクリート造</t>
        </is>
      </c>
      <c r="B108" t="inlineStr">
        <is>
          <t>事務所</t>
        </is>
      </c>
      <c r="C108" t="inlineStr">
        <is>
          <t>令和4年2月分</t>
        </is>
      </c>
      <c r="D108" t="n">
        <v>32466</v>
      </c>
      <c r="E108" t="n">
        <v>1049125</v>
      </c>
      <c r="F108" t="n">
        <v>32.3145752479517</v>
      </c>
      <c r="G108" t="n">
        <v>106.825042013799</v>
      </c>
    </row>
    <row r="109">
      <c r="A109" t="inlineStr">
        <is>
          <t>鉄筋コンクリート造</t>
        </is>
      </c>
      <c r="B109" t="inlineStr">
        <is>
          <t>事務所</t>
        </is>
      </c>
      <c r="C109" t="inlineStr">
        <is>
          <t>令和4年5月分</t>
        </is>
      </c>
      <c r="D109" t="n">
        <v>79603</v>
      </c>
      <c r="E109" t="n">
        <v>3510950</v>
      </c>
      <c r="F109" t="n">
        <v>44.10574978329962</v>
      </c>
      <c r="G109" t="n">
        <v>145.8041313400751</v>
      </c>
    </row>
    <row r="110">
      <c r="A110" t="inlineStr">
        <is>
          <t>鉄筋コンクリート造</t>
        </is>
      </c>
      <c r="B110" t="inlineStr">
        <is>
          <t>事務所</t>
        </is>
      </c>
      <c r="C110" t="inlineStr">
        <is>
          <t>令和4年8月分</t>
        </is>
      </c>
      <c r="D110" t="n">
        <v>57126</v>
      </c>
      <c r="E110" t="n">
        <v>2171051</v>
      </c>
      <c r="F110" t="n">
        <v>38.00460385813815</v>
      </c>
      <c r="G110" t="n">
        <v>125.6350539257277</v>
      </c>
    </row>
    <row r="111">
      <c r="A111" t="inlineStr">
        <is>
          <t>鉄筋コンクリート造</t>
        </is>
      </c>
      <c r="B111" t="inlineStr">
        <is>
          <t>事務所</t>
        </is>
      </c>
      <c r="C111" t="inlineStr">
        <is>
          <t>令和4年11月分</t>
        </is>
      </c>
      <c r="D111" t="n">
        <v>45541</v>
      </c>
      <c r="E111" t="n">
        <v>1919944</v>
      </c>
      <c r="F111" t="n">
        <v>42.15858237632024</v>
      </c>
      <c r="G111" t="n">
        <v>139.3672142999337</v>
      </c>
    </row>
    <row r="112">
      <c r="A112" t="inlineStr">
        <is>
          <t>鉄筋コンクリート造</t>
        </is>
      </c>
      <c r="B112" t="inlineStr">
        <is>
          <t>事務所</t>
        </is>
      </c>
      <c r="C112" t="inlineStr">
        <is>
          <t>令和5年2月分</t>
        </is>
      </c>
      <c r="D112" t="n">
        <v>55883</v>
      </c>
      <c r="E112" t="n">
        <v>2392358</v>
      </c>
      <c r="F112" t="n">
        <v>42.81012114596568</v>
      </c>
      <c r="G112" t="n">
        <v>141.5210614697307</v>
      </c>
    </row>
    <row r="113">
      <c r="A113" t="inlineStr">
        <is>
          <t>鉄筋コンクリート造</t>
        </is>
      </c>
      <c r="B113" t="inlineStr">
        <is>
          <t>事務所</t>
        </is>
      </c>
      <c r="C113" t="inlineStr">
        <is>
          <t>令和5年5月分</t>
        </is>
      </c>
      <c r="D113" t="n">
        <v>53575</v>
      </c>
      <c r="E113" t="n">
        <v>2353715</v>
      </c>
      <c r="F113" t="n">
        <v>43.93308446103593</v>
      </c>
      <c r="G113" t="n">
        <v>145.2333368869958</v>
      </c>
    </row>
    <row r="114">
      <c r="A114" t="inlineStr">
        <is>
          <t>鉄筋コンクリート造</t>
        </is>
      </c>
      <c r="B114" t="inlineStr">
        <is>
          <t>事務所</t>
        </is>
      </c>
      <c r="C114" t="inlineStr">
        <is>
          <t>令和5年8月分</t>
        </is>
      </c>
      <c r="D114" t="n">
        <v>40073</v>
      </c>
      <c r="E114" t="n">
        <v>2134117</v>
      </c>
      <c r="F114" t="n">
        <v>53.25573328675168</v>
      </c>
      <c r="G114" t="n">
        <v>176.0520106540324</v>
      </c>
    </row>
    <row r="115">
      <c r="A115" t="inlineStr">
        <is>
          <t>鉄筋コンクリート造</t>
        </is>
      </c>
      <c r="B115" t="inlineStr">
        <is>
          <t>事務所</t>
        </is>
      </c>
      <c r="C115" t="inlineStr">
        <is>
          <t>令和5年11月分</t>
        </is>
      </c>
      <c r="D115" t="n">
        <v>39643</v>
      </c>
      <c r="E115" t="n">
        <v>2271769</v>
      </c>
      <c r="F115" t="n">
        <v>57.3056781777363</v>
      </c>
      <c r="G115" t="n">
        <v>189.4402582114694</v>
      </c>
    </row>
    <row r="116">
      <c r="A116" t="inlineStr">
        <is>
          <t>鉄筋コンクリート造</t>
        </is>
      </c>
      <c r="B116" t="inlineStr">
        <is>
          <t>事務所</t>
        </is>
      </c>
      <c r="C116" t="inlineStr">
        <is>
          <t>令和6年2月分</t>
        </is>
      </c>
      <c r="D116" t="n">
        <v>20929</v>
      </c>
      <c r="E116" t="n">
        <v>1282400</v>
      </c>
      <c r="F116" t="n">
        <v>61.27383057002245</v>
      </c>
      <c r="G116" t="n">
        <v>202.5581173437813</v>
      </c>
    </row>
    <row r="117">
      <c r="A117" t="inlineStr">
        <is>
          <t>鉄筋コンクリート造</t>
        </is>
      </c>
      <c r="B117" t="inlineStr">
        <is>
          <t>事務所</t>
        </is>
      </c>
      <c r="C117" t="inlineStr">
        <is>
          <t>令和6年5月分</t>
        </is>
      </c>
      <c r="D117" t="n">
        <v>35108</v>
      </c>
      <c r="E117" t="n">
        <v>1791375</v>
      </c>
      <c r="F117" t="n">
        <v>51.02469522615928</v>
      </c>
      <c r="G117" t="n">
        <v>168.6766782311724</v>
      </c>
    </row>
    <row r="118">
      <c r="A118" t="inlineStr">
        <is>
          <t>鉄筋コンクリート造</t>
        </is>
      </c>
      <c r="B118" t="inlineStr">
        <is>
          <t>事務所</t>
        </is>
      </c>
      <c r="C118" t="inlineStr">
        <is>
          <t>令和6年8月分</t>
        </is>
      </c>
      <c r="D118" t="n">
        <v>21870</v>
      </c>
      <c r="E118" t="n">
        <v>1267345</v>
      </c>
      <c r="F118" t="n">
        <v>57.94901691815272</v>
      </c>
      <c r="G118" t="n">
        <v>191.5669978466575</v>
      </c>
    </row>
    <row r="119">
      <c r="A119" t="inlineStr">
        <is>
          <t>鉄筋コンクリート造</t>
        </is>
      </c>
      <c r="B119" t="inlineStr">
        <is>
          <t>事務所</t>
        </is>
      </c>
      <c r="C119" t="inlineStr">
        <is>
          <t>令和6年11月分</t>
        </is>
      </c>
      <c r="D119" t="n">
        <v>76901</v>
      </c>
      <c r="E119" t="n">
        <v>5281615</v>
      </c>
      <c r="F119" t="n">
        <v>68.6807063627261</v>
      </c>
      <c r="G119" t="n">
        <v>227.0436571249893</v>
      </c>
    </row>
    <row r="120">
      <c r="A120" t="inlineStr">
        <is>
          <t>鉄筋コンクリート造</t>
        </is>
      </c>
      <c r="B120" t="inlineStr">
        <is>
          <t>事務所</t>
        </is>
      </c>
      <c r="C120" t="inlineStr">
        <is>
          <t>令和7年2月分</t>
        </is>
      </c>
      <c r="D120" t="n">
        <v>76113</v>
      </c>
      <c r="E120" t="n">
        <v>4479190.79035</v>
      </c>
      <c r="F120" t="n">
        <v>58.84922142538069</v>
      </c>
      <c r="G120" t="n">
        <v>194.5428805116087</v>
      </c>
    </row>
    <row r="121">
      <c r="A121" t="inlineStr">
        <is>
          <t>鉄筋コンクリート造</t>
        </is>
      </c>
      <c r="B121" t="inlineStr">
        <is>
          <t>事務所</t>
        </is>
      </c>
      <c r="C121" t="inlineStr">
        <is>
          <t>令和7年5月分</t>
        </is>
      </c>
      <c r="D121" t="n">
        <v>47106</v>
      </c>
      <c r="E121" t="n">
        <v>1677680.3635</v>
      </c>
      <c r="F121" t="n">
        <v>35.61500368318261</v>
      </c>
      <c r="G121" t="n">
        <v>117.7355492246103</v>
      </c>
    </row>
    <row r="122">
      <c r="A122" t="inlineStr">
        <is>
          <t>鉄筋コンクリート造</t>
        </is>
      </c>
      <c r="B122" t="inlineStr">
        <is>
          <t>店舗</t>
        </is>
      </c>
      <c r="C122" t="inlineStr">
        <is>
          <t>2015（基準）</t>
        </is>
      </c>
      <c r="D122" t="n">
        <v>72357</v>
      </c>
      <c r="E122" t="n">
        <v>1758084</v>
      </c>
      <c r="F122" t="n">
        <v>24.29735892864547</v>
      </c>
      <c r="G122" t="n">
        <v>80.32184760161532</v>
      </c>
    </row>
    <row r="123">
      <c r="A123" t="inlineStr">
        <is>
          <t>鉄筋コンクリート造</t>
        </is>
      </c>
      <c r="B123" t="inlineStr">
        <is>
          <t>店舗</t>
        </is>
      </c>
      <c r="C123" t="inlineStr">
        <is>
          <t>令和4年2月分</t>
        </is>
      </c>
      <c r="D123" t="n">
        <v>27939</v>
      </c>
      <c r="E123" t="n">
        <v>779947</v>
      </c>
      <c r="F123" t="n">
        <v>27.91606714628297</v>
      </c>
      <c r="G123" t="n">
        <v>92.28451938110311</v>
      </c>
    </row>
    <row r="124">
      <c r="A124" t="inlineStr">
        <is>
          <t>鉄筋コンクリート造</t>
        </is>
      </c>
      <c r="B124" t="inlineStr">
        <is>
          <t>店舗</t>
        </is>
      </c>
      <c r="C124" t="inlineStr">
        <is>
          <t>令和4年5月分</t>
        </is>
      </c>
      <c r="D124" t="n">
        <v>23904</v>
      </c>
      <c r="E124" t="n">
        <v>951091</v>
      </c>
      <c r="F124" t="n">
        <v>39.78794344042838</v>
      </c>
      <c r="G124" t="n">
        <v>131.5303913807697</v>
      </c>
    </row>
    <row r="125">
      <c r="A125" t="inlineStr">
        <is>
          <t>鉄筋コンクリート造</t>
        </is>
      </c>
      <c r="B125" t="inlineStr">
        <is>
          <t>店舗</t>
        </is>
      </c>
      <c r="C125" t="inlineStr">
        <is>
          <t>令和4年8月分</t>
        </is>
      </c>
      <c r="D125" t="n">
        <v>10431</v>
      </c>
      <c r="E125" t="n">
        <v>262239</v>
      </c>
      <c r="F125" t="n">
        <v>25.14035087719298</v>
      </c>
      <c r="G125" t="n">
        <v>83.10859784140351</v>
      </c>
    </row>
    <row r="126">
      <c r="A126" t="inlineStr">
        <is>
          <t>鉄筋コンクリート造</t>
        </is>
      </c>
      <c r="B126" t="inlineStr">
        <is>
          <t>店舗</t>
        </is>
      </c>
      <c r="C126" t="inlineStr">
        <is>
          <t>令和4年11月分</t>
        </is>
      </c>
      <c r="D126" t="n">
        <v>1536</v>
      </c>
      <c r="E126" t="n">
        <v>47894</v>
      </c>
      <c r="F126" t="n">
        <v>31.18098958333333</v>
      </c>
      <c r="G126" t="n">
        <v>103.0776513914583</v>
      </c>
    </row>
    <row r="127">
      <c r="A127" t="inlineStr">
        <is>
          <t>鉄筋コンクリート造</t>
        </is>
      </c>
      <c r="B127" t="inlineStr">
        <is>
          <t>店舗</t>
        </is>
      </c>
      <c r="C127" t="inlineStr">
        <is>
          <t>令和5年2月分</t>
        </is>
      </c>
      <c r="D127" t="n">
        <v>6306</v>
      </c>
      <c r="E127" t="n">
        <v>215418</v>
      </c>
      <c r="F127" t="n">
        <v>34.16079923882017</v>
      </c>
      <c r="G127" t="n">
        <v>112.928261810999</v>
      </c>
    </row>
    <row r="128">
      <c r="A128" t="inlineStr">
        <is>
          <t>鉄筋コンクリート造</t>
        </is>
      </c>
      <c r="B128" t="inlineStr">
        <is>
          <t>店舗</t>
        </is>
      </c>
      <c r="C128" t="inlineStr">
        <is>
          <t>令和5年5月分</t>
        </is>
      </c>
      <c r="D128" t="n">
        <v>5822</v>
      </c>
      <c r="E128" t="n">
        <v>179220</v>
      </c>
      <c r="F128" t="n">
        <v>30.7832360013741</v>
      </c>
      <c r="G128" t="n">
        <v>101.7627635187908</v>
      </c>
    </row>
    <row r="129">
      <c r="A129" t="inlineStr">
        <is>
          <t>鉄筋コンクリート造</t>
        </is>
      </c>
      <c r="B129" t="inlineStr">
        <is>
          <t>店舗</t>
        </is>
      </c>
      <c r="C129" t="inlineStr">
        <is>
          <t>令和5年8月分</t>
        </is>
      </c>
      <c r="D129" t="n">
        <v>8806</v>
      </c>
      <c r="E129" t="n">
        <v>377134</v>
      </c>
      <c r="F129" t="n">
        <v>42.82693617987736</v>
      </c>
      <c r="G129" t="n">
        <v>141.5766483586282</v>
      </c>
    </row>
    <row r="130">
      <c r="A130" t="inlineStr">
        <is>
          <t>鉄筋コンクリート造</t>
        </is>
      </c>
      <c r="B130" t="inlineStr">
        <is>
          <t>店舗</t>
        </is>
      </c>
      <c r="C130" t="inlineStr">
        <is>
          <t>令和5年11月分</t>
        </is>
      </c>
      <c r="D130" t="n">
        <v>1430</v>
      </c>
      <c r="E130" t="n">
        <v>71400</v>
      </c>
      <c r="F130" t="n">
        <v>49.93006993006993</v>
      </c>
      <c r="G130" t="n">
        <v>165.0580822153846</v>
      </c>
    </row>
    <row r="131">
      <c r="A131" t="inlineStr">
        <is>
          <t>鉄筋コンクリート造</t>
        </is>
      </c>
      <c r="B131" t="inlineStr">
        <is>
          <t>店舗</t>
        </is>
      </c>
      <c r="C131" t="inlineStr">
        <is>
          <t>令和6年2月分</t>
        </is>
      </c>
      <c r="D131" t="n">
        <v>5235</v>
      </c>
      <c r="E131" t="n">
        <v>321235</v>
      </c>
      <c r="F131" t="n">
        <v>61.3629417382999</v>
      </c>
      <c r="G131" t="n">
        <v>202.8526997178988</v>
      </c>
    </row>
    <row r="132">
      <c r="A132" t="inlineStr">
        <is>
          <t>鉄筋コンクリート造</t>
        </is>
      </c>
      <c r="B132" t="inlineStr">
        <is>
          <t>店舗</t>
        </is>
      </c>
      <c r="C132" t="inlineStr">
        <is>
          <t>令和6年5月分</t>
        </is>
      </c>
      <c r="D132" t="n">
        <v>32529</v>
      </c>
      <c r="E132" t="n">
        <v>864522</v>
      </c>
      <c r="F132" t="n">
        <v>26.57696209536106</v>
      </c>
      <c r="G132" t="n">
        <v>87.85772582964861</v>
      </c>
    </row>
    <row r="133">
      <c r="A133" t="inlineStr">
        <is>
          <t>鉄筋コンクリート造</t>
        </is>
      </c>
      <c r="B133" t="inlineStr">
        <is>
          <t>店舗</t>
        </is>
      </c>
      <c r="C133" t="inlineStr">
        <is>
          <t>令和6年8月分</t>
        </is>
      </c>
      <c r="D133" t="n">
        <v>1537</v>
      </c>
      <c r="E133" t="n">
        <v>157000</v>
      </c>
      <c r="F133" t="n">
        <v>102.1470396877033</v>
      </c>
      <c r="G133" t="n">
        <v>337.6761638516591</v>
      </c>
    </row>
    <row r="134">
      <c r="A134" t="inlineStr">
        <is>
          <t>鉄筋コンクリート造</t>
        </is>
      </c>
      <c r="B134" t="inlineStr">
        <is>
          <t>店舗</t>
        </is>
      </c>
      <c r="C134" t="inlineStr">
        <is>
          <t>令和6年11月分</t>
        </is>
      </c>
      <c r="D134" t="n">
        <v>4645</v>
      </c>
      <c r="E134" t="n">
        <v>250910</v>
      </c>
      <c r="F134" t="n">
        <v>54.01722282023681</v>
      </c>
      <c r="G134" t="n">
        <v>178.5693314228633</v>
      </c>
    </row>
    <row r="135">
      <c r="A135" t="inlineStr">
        <is>
          <t>鉄筋コンクリート造</t>
        </is>
      </c>
      <c r="B135" t="inlineStr">
        <is>
          <t>店舗</t>
        </is>
      </c>
      <c r="C135" t="inlineStr">
        <is>
          <t>令和7年2月分</t>
        </is>
      </c>
      <c r="D135" t="n">
        <v>7686</v>
      </c>
      <c r="E135" t="n">
        <v>363662.17517</v>
      </c>
      <c r="F135" t="n">
        <v>47.31488097449909</v>
      </c>
      <c r="G135" t="n">
        <v>156.4128294800702</v>
      </c>
    </row>
    <row r="136">
      <c r="A136" t="inlineStr">
        <is>
          <t>鉄筋コンクリート造</t>
        </is>
      </c>
      <c r="B136" t="inlineStr">
        <is>
          <t>店舗</t>
        </is>
      </c>
      <c r="C136" t="inlineStr">
        <is>
          <t>令和7年5月分</t>
        </is>
      </c>
      <c r="D136" t="n">
        <v>12462</v>
      </c>
      <c r="E136" t="n">
        <v>685329.04634</v>
      </c>
      <c r="F136" t="n">
        <v>54.99350395923608</v>
      </c>
      <c r="G136" t="n">
        <v>181.7967070851037</v>
      </c>
    </row>
    <row r="137">
      <c r="A137" t="inlineStr">
        <is>
          <t>鉄筋コンクリート造</t>
        </is>
      </c>
      <c r="B137" t="inlineStr">
        <is>
          <t>工場及び作業場</t>
        </is>
      </c>
      <c r="C137" t="inlineStr">
        <is>
          <t>2015（基準）</t>
        </is>
      </c>
      <c r="D137" t="n">
        <v>229990</v>
      </c>
      <c r="E137" t="n">
        <v>5185075</v>
      </c>
      <c r="F137" t="n">
        <v>22.54478455585025</v>
      </c>
      <c r="G137" t="n">
        <v>74.52821331833557</v>
      </c>
    </row>
    <row r="138">
      <c r="A138" t="inlineStr">
        <is>
          <t>鉄筋コンクリート造</t>
        </is>
      </c>
      <c r="B138" t="inlineStr">
        <is>
          <t>工場及び作業場</t>
        </is>
      </c>
      <c r="C138" t="inlineStr">
        <is>
          <t>令和4年2月分</t>
        </is>
      </c>
      <c r="D138" t="n">
        <v>10490</v>
      </c>
      <c r="E138" t="n">
        <v>93064</v>
      </c>
      <c r="F138" t="n">
        <v>8.87168732125834</v>
      </c>
      <c r="G138" t="n">
        <v>29.32789193590848</v>
      </c>
    </row>
    <row r="139">
      <c r="A139" t="inlineStr">
        <is>
          <t>鉄筋コンクリート造</t>
        </is>
      </c>
      <c r="B139" t="inlineStr">
        <is>
          <t>工場及び作業場</t>
        </is>
      </c>
      <c r="C139" t="inlineStr">
        <is>
          <t>令和4年5月分</t>
        </is>
      </c>
      <c r="D139" t="n">
        <v>24994</v>
      </c>
      <c r="E139" t="n">
        <v>485825</v>
      </c>
      <c r="F139" t="n">
        <v>19.43766503960951</v>
      </c>
      <c r="G139" t="n">
        <v>64.25674385548531</v>
      </c>
    </row>
    <row r="140">
      <c r="A140" t="inlineStr">
        <is>
          <t>鉄筋コンクリート造</t>
        </is>
      </c>
      <c r="B140" t="inlineStr">
        <is>
          <t>工場及び作業場</t>
        </is>
      </c>
      <c r="C140" t="inlineStr">
        <is>
          <t>令和4年8月分</t>
        </is>
      </c>
      <c r="D140" t="n">
        <v>22450</v>
      </c>
      <c r="E140" t="n">
        <v>1435629</v>
      </c>
      <c r="F140" t="n">
        <v>63.94783964365256</v>
      </c>
      <c r="G140" t="n">
        <v>211.3978167501327</v>
      </c>
    </row>
    <row r="141">
      <c r="A141" t="inlineStr">
        <is>
          <t>鉄筋コンクリート造</t>
        </is>
      </c>
      <c r="B141" t="inlineStr">
        <is>
          <t>工場及び作業場</t>
        </is>
      </c>
      <c r="C141" t="inlineStr">
        <is>
          <t>令和4年11月分</t>
        </is>
      </c>
      <c r="D141" t="n">
        <v>8420</v>
      </c>
      <c r="E141" t="n">
        <v>176370</v>
      </c>
      <c r="F141" t="n">
        <v>20.94655581947744</v>
      </c>
      <c r="G141" t="n">
        <v>69.24481254327792</v>
      </c>
    </row>
    <row r="142">
      <c r="A142" t="inlineStr">
        <is>
          <t>鉄筋コンクリート造</t>
        </is>
      </c>
      <c r="B142" t="inlineStr">
        <is>
          <t>工場及び作業場</t>
        </is>
      </c>
      <c r="C142" t="inlineStr">
        <is>
          <t>令和5年2月分</t>
        </is>
      </c>
      <c r="D142" t="n">
        <v>107226</v>
      </c>
      <c r="E142" t="n">
        <v>2452202</v>
      </c>
      <c r="F142" t="n">
        <v>22.86947195642848</v>
      </c>
      <c r="G142" t="n">
        <v>75.60156009581854</v>
      </c>
    </row>
    <row r="143">
      <c r="A143" t="inlineStr">
        <is>
          <t>鉄筋コンクリート造</t>
        </is>
      </c>
      <c r="B143" t="inlineStr">
        <is>
          <t>工場及び作業場</t>
        </is>
      </c>
      <c r="C143" t="inlineStr">
        <is>
          <t>令和5年5月分</t>
        </is>
      </c>
      <c r="D143" t="n">
        <v>14417</v>
      </c>
      <c r="E143" t="n">
        <v>952900</v>
      </c>
      <c r="F143" t="n">
        <v>66.09558160504959</v>
      </c>
      <c r="G143" t="n">
        <v>218.4977901677186</v>
      </c>
    </row>
    <row r="144">
      <c r="A144" t="inlineStr">
        <is>
          <t>鉄筋コンクリート造</t>
        </is>
      </c>
      <c r="B144" t="inlineStr">
        <is>
          <t>工場及び作業場</t>
        </is>
      </c>
      <c r="C144" t="inlineStr">
        <is>
          <t>令和5年8月分</t>
        </is>
      </c>
      <c r="D144" t="n">
        <v>1056</v>
      </c>
      <c r="E144" t="n">
        <v>63500</v>
      </c>
      <c r="F144" t="n">
        <v>60.13257575757576</v>
      </c>
      <c r="G144" t="n">
        <v>198.7853741666667</v>
      </c>
    </row>
    <row r="145">
      <c r="A145" t="inlineStr">
        <is>
          <t>鉄筋コンクリート造</t>
        </is>
      </c>
      <c r="B145" t="inlineStr">
        <is>
          <t>工場及び作業場</t>
        </is>
      </c>
      <c r="C145" t="inlineStr">
        <is>
          <t>令和5年11月分</t>
        </is>
      </c>
      <c r="D145" t="n">
        <v>380</v>
      </c>
      <c r="E145" t="n">
        <v>57440</v>
      </c>
      <c r="F145" t="n">
        <v>151.1578947368421</v>
      </c>
      <c r="G145" t="n">
        <v>499.695519191579</v>
      </c>
    </row>
    <row r="146">
      <c r="A146" t="inlineStr">
        <is>
          <t>鉄筋コンクリート造</t>
        </is>
      </c>
      <c r="B146" t="inlineStr">
        <is>
          <t>工場及び作業場</t>
        </is>
      </c>
      <c r="C146" t="inlineStr">
        <is>
          <t>令和6年2月分</t>
        </is>
      </c>
      <c r="D146" t="n">
        <v>4600</v>
      </c>
      <c r="E146" t="n">
        <v>115328</v>
      </c>
      <c r="F146" t="n">
        <v>25.07130434782609</v>
      </c>
      <c r="G146" t="n">
        <v>82.88034485203478</v>
      </c>
    </row>
    <row r="147">
      <c r="A147" t="inlineStr">
        <is>
          <t>鉄筋コンクリート造</t>
        </is>
      </c>
      <c r="B147" t="inlineStr">
        <is>
          <t>工場及び作業場</t>
        </is>
      </c>
      <c r="C147" t="inlineStr">
        <is>
          <t>令和6年5月分</t>
        </is>
      </c>
      <c r="D147" t="n">
        <v>6481</v>
      </c>
      <c r="E147" t="n">
        <v>245050</v>
      </c>
      <c r="F147" t="n">
        <v>37.81052306742787</v>
      </c>
      <c r="G147" t="n">
        <v>124.9934645357198</v>
      </c>
    </row>
    <row r="148">
      <c r="A148" t="inlineStr">
        <is>
          <t>鉄筋コンクリート造</t>
        </is>
      </c>
      <c r="B148" t="inlineStr">
        <is>
          <t>工場及び作業場</t>
        </is>
      </c>
      <c r="C148" t="inlineStr">
        <is>
          <t>令和6年8月分</t>
        </is>
      </c>
      <c r="D148" t="n">
        <v>75089</v>
      </c>
      <c r="E148" t="n">
        <v>2969080</v>
      </c>
      <c r="F148" t="n">
        <v>39.54081157026994</v>
      </c>
      <c r="G148" t="n">
        <v>130.7134265217222</v>
      </c>
    </row>
    <row r="149">
      <c r="A149" t="inlineStr">
        <is>
          <t>鉄筋コンクリート造</t>
        </is>
      </c>
      <c r="B149" t="inlineStr">
        <is>
          <t>工場及び作業場</t>
        </is>
      </c>
      <c r="C149" t="inlineStr">
        <is>
          <t>令和6年11月分</t>
        </is>
      </c>
      <c r="D149" t="n">
        <v>7039</v>
      </c>
      <c r="E149" t="n">
        <v>190150</v>
      </c>
      <c r="F149" t="n">
        <v>27.01378036652934</v>
      </c>
      <c r="G149" t="n">
        <v>89.30175317062083</v>
      </c>
    </row>
    <row r="150">
      <c r="A150" t="inlineStr">
        <is>
          <t>鉄筋コンクリート造</t>
        </is>
      </c>
      <c r="B150" t="inlineStr">
        <is>
          <t>工場及び作業場</t>
        </is>
      </c>
      <c r="C150" t="inlineStr">
        <is>
          <t>令和7年2月分</t>
        </is>
      </c>
      <c r="D150" t="n">
        <v>11647</v>
      </c>
      <c r="E150" t="n">
        <v>985376</v>
      </c>
      <c r="F150" t="n">
        <v>84.6034171889757</v>
      </c>
      <c r="G150" t="n">
        <v>279.6807176444681</v>
      </c>
    </row>
    <row r="151">
      <c r="A151" t="inlineStr">
        <is>
          <t>鉄筋コンクリート造</t>
        </is>
      </c>
      <c r="B151" t="inlineStr">
        <is>
          <t>工場及び作業場</t>
        </is>
      </c>
      <c r="C151" t="inlineStr">
        <is>
          <t>令和7年5月分</t>
        </is>
      </c>
      <c r="D151" t="n">
        <v>6591</v>
      </c>
      <c r="E151" t="n">
        <v>594050</v>
      </c>
      <c r="F151" t="n">
        <v>90.13048095888333</v>
      </c>
      <c r="G151" t="n">
        <v>297.9520028123198</v>
      </c>
    </row>
    <row r="152">
      <c r="A152" t="inlineStr">
        <is>
          <t>鉄筋コンクリート造</t>
        </is>
      </c>
      <c r="B152" t="inlineStr">
        <is>
          <t>倉庫</t>
        </is>
      </c>
      <c r="C152" t="inlineStr">
        <is>
          <t>2015（基準）</t>
        </is>
      </c>
      <c r="D152" t="n">
        <v>1031373</v>
      </c>
      <c r="E152" t="n">
        <v>13384389</v>
      </c>
      <c r="F152" t="n">
        <v>12.97725362211344</v>
      </c>
      <c r="G152" t="n">
        <v>42.9000119224487</v>
      </c>
    </row>
    <row r="153">
      <c r="A153" t="inlineStr">
        <is>
          <t>鉄筋コンクリート造</t>
        </is>
      </c>
      <c r="B153" t="inlineStr">
        <is>
          <t>倉庫</t>
        </is>
      </c>
      <c r="C153" t="inlineStr">
        <is>
          <t>令和4年2月分</t>
        </is>
      </c>
      <c r="D153" t="n">
        <v>382289</v>
      </c>
      <c r="E153" t="n">
        <v>4603680</v>
      </c>
      <c r="F153" t="n">
        <v>12.04240770725812</v>
      </c>
      <c r="G153" t="n">
        <v>39.80961220762721</v>
      </c>
    </row>
    <row r="154">
      <c r="A154" t="inlineStr">
        <is>
          <t>鉄筋コンクリート造</t>
        </is>
      </c>
      <c r="B154" t="inlineStr">
        <is>
          <t>倉庫</t>
        </is>
      </c>
      <c r="C154" t="inlineStr">
        <is>
          <t>令和4年5月分</t>
        </is>
      </c>
      <c r="D154" t="n">
        <v>273698</v>
      </c>
      <c r="E154" t="n">
        <v>2918396</v>
      </c>
      <c r="F154" t="n">
        <v>10.66283275727261</v>
      </c>
      <c r="G154" t="n">
        <v>35.24903386604038</v>
      </c>
    </row>
    <row r="155">
      <c r="A155" t="inlineStr">
        <is>
          <t>鉄筋コンクリート造</t>
        </is>
      </c>
      <c r="B155" t="inlineStr">
        <is>
          <t>倉庫</t>
        </is>
      </c>
      <c r="C155" t="inlineStr">
        <is>
          <t>令和4年8月分</t>
        </is>
      </c>
      <c r="D155" t="n">
        <v>458673</v>
      </c>
      <c r="E155" t="n">
        <v>6841976</v>
      </c>
      <c r="F155" t="n">
        <v>14.91689286267123</v>
      </c>
      <c r="G155" t="n">
        <v>49.31204246205274</v>
      </c>
    </row>
    <row r="156">
      <c r="A156" t="inlineStr">
        <is>
          <t>鉄筋コンクリート造</t>
        </is>
      </c>
      <c r="B156" t="inlineStr">
        <is>
          <t>倉庫</t>
        </is>
      </c>
      <c r="C156" t="inlineStr">
        <is>
          <t>令和4年11月分</t>
        </is>
      </c>
      <c r="D156" t="n">
        <v>1171</v>
      </c>
      <c r="E156" t="n">
        <v>41750</v>
      </c>
      <c r="F156" t="n">
        <v>35.6532877882152</v>
      </c>
      <c r="G156" t="n">
        <v>117.8621082493595</v>
      </c>
    </row>
    <row r="157">
      <c r="A157" t="inlineStr">
        <is>
          <t>鉄筋コンクリート造</t>
        </is>
      </c>
      <c r="B157" t="inlineStr">
        <is>
          <t>倉庫</t>
        </is>
      </c>
      <c r="C157" t="inlineStr">
        <is>
          <t>令和5年2月分</t>
        </is>
      </c>
      <c r="D157" t="n">
        <v>226910</v>
      </c>
      <c r="E157" t="n">
        <v>3484438</v>
      </c>
      <c r="F157" t="n">
        <v>15.35603543255035</v>
      </c>
      <c r="G157" t="n">
        <v>50.76375343511771</v>
      </c>
    </row>
    <row r="158">
      <c r="A158" t="inlineStr">
        <is>
          <t>鉄筋コンクリート造</t>
        </is>
      </c>
      <c r="B158" t="inlineStr">
        <is>
          <t>倉庫</t>
        </is>
      </c>
      <c r="C158" t="inlineStr">
        <is>
          <t>令和5年5月分</t>
        </is>
      </c>
      <c r="D158" t="n">
        <v>208410</v>
      </c>
      <c r="E158" t="n">
        <v>2703090</v>
      </c>
      <c r="F158" t="n">
        <v>12.97005901828127</v>
      </c>
      <c r="G158" t="n">
        <v>42.87622810815603</v>
      </c>
    </row>
    <row r="159">
      <c r="A159" t="inlineStr">
        <is>
          <t>鉄筋コンクリート造</t>
        </is>
      </c>
      <c r="B159" t="inlineStr">
        <is>
          <t>倉庫</t>
        </is>
      </c>
      <c r="C159" t="inlineStr">
        <is>
          <t>令和5年8月分</t>
        </is>
      </c>
      <c r="D159" t="n">
        <v>565298</v>
      </c>
      <c r="E159" t="n">
        <v>9002018</v>
      </c>
      <c r="F159" t="n">
        <v>15.92437616973702</v>
      </c>
      <c r="G159" t="n">
        <v>52.64256578719925</v>
      </c>
    </row>
    <row r="160">
      <c r="A160" t="inlineStr">
        <is>
          <t>鉄筋コンクリート造</t>
        </is>
      </c>
      <c r="B160" t="inlineStr">
        <is>
          <t>倉庫</t>
        </is>
      </c>
      <c r="C160" t="inlineStr">
        <is>
          <t>令和5年11月分</t>
        </is>
      </c>
      <c r="D160" t="n">
        <v>428385</v>
      </c>
      <c r="E160" t="n">
        <v>7280600</v>
      </c>
      <c r="F160" t="n">
        <v>16.99545969163253</v>
      </c>
      <c r="G160" t="n">
        <v>56.18333775615859</v>
      </c>
    </row>
    <row r="161">
      <c r="A161" t="inlineStr">
        <is>
          <t>鉄筋コンクリート造</t>
        </is>
      </c>
      <c r="B161" t="inlineStr">
        <is>
          <t>倉庫</t>
        </is>
      </c>
      <c r="C161" t="inlineStr">
        <is>
          <t>令和6年2月分</t>
        </is>
      </c>
      <c r="D161" t="n">
        <v>266570</v>
      </c>
      <c r="E161" t="n">
        <v>6278887</v>
      </c>
      <c r="F161" t="n">
        <v>23.55436470720636</v>
      </c>
      <c r="G161" t="n">
        <v>77.86566836013594</v>
      </c>
    </row>
    <row r="162">
      <c r="A162" t="inlineStr">
        <is>
          <t>鉄筋コンクリート造</t>
        </is>
      </c>
      <c r="B162" t="inlineStr">
        <is>
          <t>倉庫</t>
        </is>
      </c>
      <c r="C162" t="inlineStr">
        <is>
          <t>令和6年5月分</t>
        </is>
      </c>
      <c r="D162" t="n">
        <v>72900</v>
      </c>
      <c r="E162" t="n">
        <v>1278061</v>
      </c>
      <c r="F162" t="n">
        <v>17.53170096021948</v>
      </c>
      <c r="G162" t="n">
        <v>57.95603616258326</v>
      </c>
    </row>
    <row r="163">
      <c r="A163" t="inlineStr">
        <is>
          <t>鉄筋コンクリート造</t>
        </is>
      </c>
      <c r="B163" t="inlineStr">
        <is>
          <t>倉庫</t>
        </is>
      </c>
      <c r="C163" t="inlineStr">
        <is>
          <t>令和6年8月分</t>
        </is>
      </c>
      <c r="D163" t="n">
        <v>67268</v>
      </c>
      <c r="E163" t="n">
        <v>1471680</v>
      </c>
      <c r="F163" t="n">
        <v>21.87786168757805</v>
      </c>
      <c r="G163" t="n">
        <v>72.3235096242136</v>
      </c>
    </row>
    <row r="164">
      <c r="A164" t="inlineStr">
        <is>
          <t>鉄筋コンクリート造</t>
        </is>
      </c>
      <c r="B164" t="inlineStr">
        <is>
          <t>倉庫</t>
        </is>
      </c>
      <c r="C164" t="inlineStr">
        <is>
          <t>令和6年11月分</t>
        </is>
      </c>
      <c r="D164" t="n">
        <v>98948</v>
      </c>
      <c r="E164" t="n">
        <v>2231733</v>
      </c>
      <c r="F164" t="n">
        <v>22.55460443869507</v>
      </c>
      <c r="G164" t="n">
        <v>74.56067574092413</v>
      </c>
    </row>
    <row r="165">
      <c r="A165" t="inlineStr">
        <is>
          <t>鉄筋コンクリート造</t>
        </is>
      </c>
      <c r="B165" t="inlineStr">
        <is>
          <t>倉庫</t>
        </is>
      </c>
      <c r="C165" t="inlineStr">
        <is>
          <t>令和7年2月分</t>
        </is>
      </c>
      <c r="D165" t="n">
        <v>526019</v>
      </c>
      <c r="E165" t="n">
        <v>10420454.38193</v>
      </c>
      <c r="F165" t="n">
        <v>19.81003420395461</v>
      </c>
      <c r="G165" t="n">
        <v>65.48771629812418</v>
      </c>
    </row>
    <row r="166">
      <c r="A166" t="inlineStr">
        <is>
          <t>鉄筋コンクリート造</t>
        </is>
      </c>
      <c r="B166" t="inlineStr">
        <is>
          <t>倉庫</t>
        </is>
      </c>
      <c r="C166" t="inlineStr">
        <is>
          <t>令和7年5月分</t>
        </is>
      </c>
      <c r="D166" t="n">
        <v>701489</v>
      </c>
      <c r="E166" t="n">
        <v>17963969.31319</v>
      </c>
      <c r="F166" t="n">
        <v>25.60834070554207</v>
      </c>
      <c r="G166" t="n">
        <v>84.65567165227127</v>
      </c>
    </row>
    <row r="167">
      <c r="A167" t="inlineStr">
        <is>
          <t>鉄筋コンクリート造</t>
        </is>
      </c>
      <c r="B167" t="inlineStr">
        <is>
          <t>学校の校舎</t>
        </is>
      </c>
      <c r="C167" t="inlineStr">
        <is>
          <t>2015（基準）</t>
        </is>
      </c>
      <c r="D167" t="n">
        <v>1835193</v>
      </c>
      <c r="E167" t="n">
        <v>50330867</v>
      </c>
      <c r="F167" t="n">
        <v>27.42538087274744</v>
      </c>
      <c r="G167" t="n">
        <v>90.6624159994611</v>
      </c>
    </row>
    <row r="168">
      <c r="A168" t="inlineStr">
        <is>
          <t>鉄筋コンクリート造</t>
        </is>
      </c>
      <c r="B168" t="inlineStr">
        <is>
          <t>学校の校舎</t>
        </is>
      </c>
      <c r="C168" t="inlineStr">
        <is>
          <t>令和4年2月分</t>
        </is>
      </c>
      <c r="D168" t="n">
        <v>51890</v>
      </c>
      <c r="E168" t="n">
        <v>1774216</v>
      </c>
      <c r="F168" t="n">
        <v>34.19186741183272</v>
      </c>
      <c r="G168" t="n">
        <v>113.0309665150495</v>
      </c>
    </row>
    <row r="169">
      <c r="A169" t="inlineStr">
        <is>
          <t>鉄筋コンクリート造</t>
        </is>
      </c>
      <c r="B169" t="inlineStr">
        <is>
          <t>学校の校舎</t>
        </is>
      </c>
      <c r="C169" t="inlineStr">
        <is>
          <t>令和4年5月分</t>
        </is>
      </c>
      <c r="D169" t="n">
        <v>116271</v>
      </c>
      <c r="E169" t="n">
        <v>3203689</v>
      </c>
      <c r="F169" t="n">
        <v>27.553637622451</v>
      </c>
      <c r="G169" t="n">
        <v>91.08640525417069</v>
      </c>
    </row>
    <row r="170">
      <c r="A170" t="inlineStr">
        <is>
          <t>鉄筋コンクリート造</t>
        </is>
      </c>
      <c r="B170" t="inlineStr">
        <is>
          <t>学校の校舎</t>
        </is>
      </c>
      <c r="C170" t="inlineStr">
        <is>
          <t>令和4年8月分</t>
        </is>
      </c>
      <c r="D170" t="n">
        <v>173181</v>
      </c>
      <c r="E170" t="n">
        <v>6427432</v>
      </c>
      <c r="F170" t="n">
        <v>37.11395591895185</v>
      </c>
      <c r="G170" t="n">
        <v>122.6907632212069</v>
      </c>
    </row>
    <row r="171">
      <c r="A171" t="inlineStr">
        <is>
          <t>鉄筋コンクリート造</t>
        </is>
      </c>
      <c r="B171" t="inlineStr">
        <is>
          <t>学校の校舎</t>
        </is>
      </c>
      <c r="C171" t="inlineStr">
        <is>
          <t>令和4年11月分</t>
        </is>
      </c>
      <c r="D171" t="n">
        <v>88166</v>
      </c>
      <c r="E171" t="n">
        <v>2508835</v>
      </c>
      <c r="F171" t="n">
        <v>28.45581062994805</v>
      </c>
      <c r="G171" t="n">
        <v>94.0687953580201</v>
      </c>
    </row>
    <row r="172">
      <c r="A172" t="inlineStr">
        <is>
          <t>鉄筋コンクリート造</t>
        </is>
      </c>
      <c r="B172" t="inlineStr">
        <is>
          <t>学校の校舎</t>
        </is>
      </c>
      <c r="C172" t="inlineStr">
        <is>
          <t>令和5年2月分</t>
        </is>
      </c>
      <c r="D172" t="n">
        <v>62683</v>
      </c>
      <c r="E172" t="n">
        <v>2232198</v>
      </c>
      <c r="F172" t="n">
        <v>35.61089928688799</v>
      </c>
      <c r="G172" t="n">
        <v>117.7219809724129</v>
      </c>
    </row>
    <row r="173">
      <c r="A173" t="inlineStr">
        <is>
          <t>鉄筋コンクリート造</t>
        </is>
      </c>
      <c r="B173" t="inlineStr">
        <is>
          <t>学校の校舎</t>
        </is>
      </c>
      <c r="C173" t="inlineStr">
        <is>
          <t>令和5年5月分</t>
        </is>
      </c>
      <c r="D173" t="n">
        <v>85769</v>
      </c>
      <c r="E173" t="n">
        <v>3909924</v>
      </c>
      <c r="F173" t="n">
        <v>45.58668050227938</v>
      </c>
      <c r="G173" t="n">
        <v>150.6997700746293</v>
      </c>
    </row>
    <row r="174">
      <c r="A174" t="inlineStr">
        <is>
          <t>鉄筋コンクリート造</t>
        </is>
      </c>
      <c r="B174" t="inlineStr">
        <is>
          <t>学校の校舎</t>
        </is>
      </c>
      <c r="C174" t="inlineStr">
        <is>
          <t>令和5年8月分</t>
        </is>
      </c>
      <c r="D174" t="n">
        <v>90258</v>
      </c>
      <c r="E174" t="n">
        <v>3745219</v>
      </c>
      <c r="F174" t="n">
        <v>41.49459327705024</v>
      </c>
      <c r="G174" t="n">
        <v>137.1722090157247</v>
      </c>
    </row>
    <row r="175">
      <c r="A175" t="inlineStr">
        <is>
          <t>鉄筋コンクリート造</t>
        </is>
      </c>
      <c r="B175" t="inlineStr">
        <is>
          <t>学校の校舎</t>
        </is>
      </c>
      <c r="C175" t="inlineStr">
        <is>
          <t>令和5年11月分</t>
        </is>
      </c>
      <c r="D175" t="n">
        <v>34086</v>
      </c>
      <c r="E175" t="n">
        <v>1288005</v>
      </c>
      <c r="F175" t="n">
        <v>37.7869213166696</v>
      </c>
      <c r="G175" t="n">
        <v>124.9154422192572</v>
      </c>
    </row>
    <row r="176">
      <c r="A176" t="inlineStr">
        <is>
          <t>鉄筋コンクリート造</t>
        </is>
      </c>
      <c r="B176" t="inlineStr">
        <is>
          <t>学校の校舎</t>
        </is>
      </c>
      <c r="C176" t="inlineStr">
        <is>
          <t>令和6年2月分</t>
        </is>
      </c>
      <c r="D176" t="n">
        <v>32190</v>
      </c>
      <c r="E176" t="n">
        <v>1072003</v>
      </c>
      <c r="F176" t="n">
        <v>33.30236098167133</v>
      </c>
      <c r="G176" t="n">
        <v>110.0904493940777</v>
      </c>
    </row>
    <row r="177">
      <c r="A177" t="inlineStr">
        <is>
          <t>鉄筋コンクリート造</t>
        </is>
      </c>
      <c r="B177" t="inlineStr">
        <is>
          <t>学校の校舎</t>
        </is>
      </c>
      <c r="C177" t="inlineStr">
        <is>
          <t>令和6年5月分</t>
        </is>
      </c>
      <c r="D177" t="n">
        <v>40077</v>
      </c>
      <c r="E177" t="n">
        <v>1483873</v>
      </c>
      <c r="F177" t="n">
        <v>37.02555081468174</v>
      </c>
      <c r="G177" t="n">
        <v>122.3985149429788</v>
      </c>
    </row>
    <row r="178">
      <c r="A178" t="inlineStr">
        <is>
          <t>鉄筋コンクリート造</t>
        </is>
      </c>
      <c r="B178" t="inlineStr">
        <is>
          <t>学校の校舎</t>
        </is>
      </c>
      <c r="C178" t="inlineStr">
        <is>
          <t>令和6年8月分</t>
        </is>
      </c>
      <c r="D178" t="n">
        <v>78959</v>
      </c>
      <c r="E178" t="n">
        <v>3358800</v>
      </c>
      <c r="F178" t="n">
        <v>42.53853265618866</v>
      </c>
      <c r="G178" t="n">
        <v>140.6232482814625</v>
      </c>
    </row>
    <row r="179">
      <c r="A179" t="inlineStr">
        <is>
          <t>鉄筋コンクリート造</t>
        </is>
      </c>
      <c r="B179" t="inlineStr">
        <is>
          <t>学校の校舎</t>
        </is>
      </c>
      <c r="C179" t="inlineStr">
        <is>
          <t>令和6年11月分</t>
        </is>
      </c>
      <c r="D179" t="n">
        <v>61695</v>
      </c>
      <c r="E179" t="n">
        <v>3184395</v>
      </c>
      <c r="F179" t="n">
        <v>51.61512278142475</v>
      </c>
      <c r="G179" t="n">
        <v>170.6285048578069</v>
      </c>
    </row>
    <row r="180">
      <c r="A180" t="inlineStr">
        <is>
          <t>鉄筋コンクリート造</t>
        </is>
      </c>
      <c r="B180" t="inlineStr">
        <is>
          <t>学校の校舎</t>
        </is>
      </c>
      <c r="C180" t="inlineStr">
        <is>
          <t>令和7年2月分</t>
        </is>
      </c>
      <c r="D180" t="n">
        <v>46855</v>
      </c>
      <c r="E180" t="n">
        <v>2164665.50499</v>
      </c>
      <c r="F180" t="n">
        <v>46.19924244989862</v>
      </c>
      <c r="G180" t="n">
        <v>152.7247682461472</v>
      </c>
    </row>
    <row r="181">
      <c r="A181" t="inlineStr">
        <is>
          <t>鉄筋コンクリート造</t>
        </is>
      </c>
      <c r="B181" t="inlineStr">
        <is>
          <t>学校の校舎</t>
        </is>
      </c>
      <c r="C181" t="inlineStr">
        <is>
          <t>令和7年5月分</t>
        </is>
      </c>
      <c r="D181" t="n">
        <v>36837</v>
      </c>
      <c r="E181" t="n">
        <v>1676479.07322</v>
      </c>
      <c r="F181" t="n">
        <v>45.51073847544588</v>
      </c>
      <c r="G181" t="n">
        <v>150.4487220523405</v>
      </c>
    </row>
    <row r="182">
      <c r="A182" t="inlineStr">
        <is>
          <t>鉄筋コンクリート造</t>
        </is>
      </c>
      <c r="B182" t="inlineStr">
        <is>
          <t>病院・診療所</t>
        </is>
      </c>
      <c r="C182" t="inlineStr">
        <is>
          <t>2015（基準）</t>
        </is>
      </c>
      <c r="D182" t="n">
        <v>1024242</v>
      </c>
      <c r="E182" t="n">
        <v>29249650</v>
      </c>
      <c r="F182" t="n">
        <v>28.55736242020929</v>
      </c>
      <c r="G182" t="n">
        <v>94.40450375517504</v>
      </c>
    </row>
    <row r="183">
      <c r="A183" t="inlineStr">
        <is>
          <t>鉄筋コンクリート造</t>
        </is>
      </c>
      <c r="B183" t="inlineStr">
        <is>
          <t>病院・診療所</t>
        </is>
      </c>
      <c r="C183" t="inlineStr">
        <is>
          <t>令和4年2月分</t>
        </is>
      </c>
      <c r="D183" t="n">
        <v>37579</v>
      </c>
      <c r="E183" t="n">
        <v>1256192</v>
      </c>
      <c r="F183" t="n">
        <v>33.4280316134011</v>
      </c>
      <c r="G183" t="n">
        <v>110.5058894984709</v>
      </c>
    </row>
    <row r="184">
      <c r="A184" t="inlineStr">
        <is>
          <t>鉄筋コンクリート造</t>
        </is>
      </c>
      <c r="B184" t="inlineStr">
        <is>
          <t>病院・診療所</t>
        </is>
      </c>
      <c r="C184" t="inlineStr">
        <is>
          <t>令和4年5月分</t>
        </is>
      </c>
      <c r="D184" t="n">
        <v>35646</v>
      </c>
      <c r="E184" t="n">
        <v>942009</v>
      </c>
      <c r="F184" t="n">
        <v>26.42678000336644</v>
      </c>
      <c r="G184" t="n">
        <v>87.36125610464231</v>
      </c>
    </row>
    <row r="185">
      <c r="A185" t="inlineStr">
        <is>
          <t>鉄筋コンクリート造</t>
        </is>
      </c>
      <c r="B185" t="inlineStr">
        <is>
          <t>病院・診療所</t>
        </is>
      </c>
      <c r="C185" t="inlineStr">
        <is>
          <t>令和4年8月分</t>
        </is>
      </c>
      <c r="D185" t="n">
        <v>30421</v>
      </c>
      <c r="E185" t="n">
        <v>1316334</v>
      </c>
      <c r="F185" t="n">
        <v>43.27056967226587</v>
      </c>
      <c r="G185" t="n">
        <v>143.0432053564998</v>
      </c>
    </row>
    <row r="186">
      <c r="A186" t="inlineStr">
        <is>
          <t>鉄筋コンクリート造</t>
        </is>
      </c>
      <c r="B186" t="inlineStr">
        <is>
          <t>病院・診療所</t>
        </is>
      </c>
      <c r="C186" t="inlineStr">
        <is>
          <t>令和4年11月分</t>
        </is>
      </c>
      <c r="D186" t="n">
        <v>51002</v>
      </c>
      <c r="E186" t="n">
        <v>1899726</v>
      </c>
      <c r="F186" t="n">
        <v>37.24806870318811</v>
      </c>
      <c r="G186" t="n">
        <v>123.134111267737</v>
      </c>
    </row>
    <row r="187">
      <c r="A187" t="inlineStr">
        <is>
          <t>鉄筋コンクリート造</t>
        </is>
      </c>
      <c r="B187" t="inlineStr">
        <is>
          <t>病院・診療所</t>
        </is>
      </c>
      <c r="C187" t="inlineStr">
        <is>
          <t>令和5年2月分</t>
        </is>
      </c>
      <c r="D187" t="n">
        <v>53670</v>
      </c>
      <c r="E187" t="n">
        <v>2730012</v>
      </c>
      <c r="F187" t="n">
        <v>50.8666294019005</v>
      </c>
      <c r="G187" t="n">
        <v>168.1541465813572</v>
      </c>
    </row>
    <row r="188">
      <c r="A188" t="inlineStr">
        <is>
          <t>鉄筋コンクリート造</t>
        </is>
      </c>
      <c r="B188" t="inlineStr">
        <is>
          <t>病院・診療所</t>
        </is>
      </c>
      <c r="C188" t="inlineStr">
        <is>
          <t>令和5年5月分</t>
        </is>
      </c>
      <c r="D188" t="n">
        <v>131908</v>
      </c>
      <c r="E188" t="n">
        <v>5493250</v>
      </c>
      <c r="F188" t="n">
        <v>41.64455529611548</v>
      </c>
      <c r="G188" t="n">
        <v>137.6679512269157</v>
      </c>
    </row>
    <row r="189">
      <c r="A189" t="inlineStr">
        <is>
          <t>鉄筋コンクリート造</t>
        </is>
      </c>
      <c r="B189" t="inlineStr">
        <is>
          <t>病院・診療所</t>
        </is>
      </c>
      <c r="C189" t="inlineStr">
        <is>
          <t>令和5年8月分</t>
        </is>
      </c>
      <c r="D189" t="n">
        <v>15684</v>
      </c>
      <c r="E189" t="n">
        <v>747019</v>
      </c>
      <c r="F189" t="n">
        <v>47.6293675082887</v>
      </c>
      <c r="G189" t="n">
        <v>157.4524543839123</v>
      </c>
    </row>
    <row r="190">
      <c r="A190" t="inlineStr">
        <is>
          <t>鉄筋コンクリート造</t>
        </is>
      </c>
      <c r="B190" t="inlineStr">
        <is>
          <t>病院・診療所</t>
        </is>
      </c>
      <c r="C190" t="inlineStr">
        <is>
          <t>令和5年11月分</t>
        </is>
      </c>
      <c r="D190" t="n">
        <v>31814</v>
      </c>
      <c r="E190" t="n">
        <v>1390287</v>
      </c>
      <c r="F190" t="n">
        <v>43.70047777707927</v>
      </c>
      <c r="G190" t="n">
        <v>144.4643891723593</v>
      </c>
    </row>
    <row r="191">
      <c r="A191" t="inlineStr">
        <is>
          <t>鉄筋コンクリート造</t>
        </is>
      </c>
      <c r="B191" t="inlineStr">
        <is>
          <t>病院・診療所</t>
        </is>
      </c>
      <c r="C191" t="inlineStr">
        <is>
          <t>令和6年2月分</t>
        </is>
      </c>
      <c r="D191" t="n">
        <v>4911</v>
      </c>
      <c r="E191" t="n">
        <v>252510</v>
      </c>
      <c r="F191" t="n">
        <v>51.41722663408675</v>
      </c>
      <c r="G191" t="n">
        <v>169.9743027186316</v>
      </c>
    </row>
    <row r="192">
      <c r="A192" t="inlineStr">
        <is>
          <t>鉄筋コンクリート造</t>
        </is>
      </c>
      <c r="B192" t="inlineStr">
        <is>
          <t>病院・診療所</t>
        </is>
      </c>
      <c r="C192" t="inlineStr">
        <is>
          <t>令和6年5月分</t>
        </is>
      </c>
      <c r="D192" t="n">
        <v>33521</v>
      </c>
      <c r="E192" t="n">
        <v>1394000</v>
      </c>
      <c r="F192" t="n">
        <v>41.58587154321172</v>
      </c>
      <c r="G192" t="n">
        <v>137.4739553497807</v>
      </c>
    </row>
    <row r="193">
      <c r="A193" t="inlineStr">
        <is>
          <t>鉄筋コンクリート造</t>
        </is>
      </c>
      <c r="B193" t="inlineStr">
        <is>
          <t>病院・診療所</t>
        </is>
      </c>
      <c r="C193" t="inlineStr">
        <is>
          <t>令和6年8月分</t>
        </is>
      </c>
      <c r="D193" t="n">
        <v>42760</v>
      </c>
      <c r="E193" t="n">
        <v>2069660</v>
      </c>
      <c r="F193" t="n">
        <v>48.40177736202058</v>
      </c>
      <c r="G193" t="n">
        <v>160.0058753849205</v>
      </c>
    </row>
    <row r="194">
      <c r="A194" t="inlineStr">
        <is>
          <t>鉄筋コンクリート造</t>
        </is>
      </c>
      <c r="B194" t="inlineStr">
        <is>
          <t>病院・診療所</t>
        </is>
      </c>
      <c r="C194" t="inlineStr">
        <is>
          <t>令和6年11月分</t>
        </is>
      </c>
      <c r="D194" t="n">
        <v>56004</v>
      </c>
      <c r="E194" t="n">
        <v>1992480</v>
      </c>
      <c r="F194" t="n">
        <v>35.57745875294622</v>
      </c>
      <c r="G194" t="n">
        <v>117.6114337529034</v>
      </c>
    </row>
    <row r="195">
      <c r="A195" t="inlineStr">
        <is>
          <t>鉄筋コンクリート造</t>
        </is>
      </c>
      <c r="B195" t="inlineStr">
        <is>
          <t>病院・診療所</t>
        </is>
      </c>
      <c r="C195" t="inlineStr">
        <is>
          <t>令和7年2月分</t>
        </is>
      </c>
      <c r="D195" t="n">
        <v>16968</v>
      </c>
      <c r="E195" t="n">
        <v>834225.1137700001</v>
      </c>
      <c r="F195" t="n">
        <v>49.16461066537011</v>
      </c>
      <c r="G195" t="n">
        <v>162.5276383681738</v>
      </c>
    </row>
    <row r="196">
      <c r="A196" t="inlineStr">
        <is>
          <t>鉄筋コンクリート造</t>
        </is>
      </c>
      <c r="B196" t="inlineStr">
        <is>
          <t>病院・診療所</t>
        </is>
      </c>
      <c r="C196" t="inlineStr">
        <is>
          <t>令和7年5月分</t>
        </is>
      </c>
      <c r="D196" t="n">
        <v>16780</v>
      </c>
      <c r="E196" t="n">
        <v>973237.3414499999</v>
      </c>
      <c r="F196" t="n">
        <v>57.99984156436233</v>
      </c>
      <c r="G196" t="n">
        <v>191.7350132058265</v>
      </c>
    </row>
    <row r="197">
      <c r="A197" t="inlineStr">
        <is>
          <t>鉄筋コンクリート造</t>
        </is>
      </c>
      <c r="B197" t="inlineStr">
        <is>
          <t>その他</t>
        </is>
      </c>
      <c r="C197" t="inlineStr">
        <is>
          <t>2015（基準）</t>
        </is>
      </c>
      <c r="D197" t="n">
        <v>2863587</v>
      </c>
      <c r="E197" t="n">
        <v>79499077</v>
      </c>
      <c r="F197" t="n">
        <v>27.76206100949613</v>
      </c>
      <c r="G197" t="n">
        <v>91.77540818572449</v>
      </c>
    </row>
    <row r="198">
      <c r="A198" t="inlineStr">
        <is>
          <t>鉄筋コンクリート造</t>
        </is>
      </c>
      <c r="B198" t="inlineStr">
        <is>
          <t>その他</t>
        </is>
      </c>
      <c r="C198" t="inlineStr">
        <is>
          <t>令和4年2月分</t>
        </is>
      </c>
      <c r="D198" t="n">
        <v>145387</v>
      </c>
      <c r="E198" t="n">
        <v>8433486</v>
      </c>
      <c r="F198" t="n">
        <v>58.00715332182382</v>
      </c>
      <c r="G198" t="n">
        <v>191.7591843048438</v>
      </c>
    </row>
    <row r="199">
      <c r="A199" t="inlineStr">
        <is>
          <t>鉄筋コンクリート造</t>
        </is>
      </c>
      <c r="B199" t="inlineStr">
        <is>
          <t>その他</t>
        </is>
      </c>
      <c r="C199" t="inlineStr">
        <is>
          <t>令和4年5月分</t>
        </is>
      </c>
      <c r="D199" t="n">
        <v>139166</v>
      </c>
      <c r="E199" t="n">
        <v>4777887</v>
      </c>
      <c r="F199" t="n">
        <v>34.33228662173232</v>
      </c>
      <c r="G199" t="n">
        <v>113.4951622496978</v>
      </c>
    </row>
    <row r="200">
      <c r="A200" t="inlineStr">
        <is>
          <t>鉄筋コンクリート造</t>
        </is>
      </c>
      <c r="B200" t="inlineStr">
        <is>
          <t>その他</t>
        </is>
      </c>
      <c r="C200" t="inlineStr">
        <is>
          <t>令和4年8月分</t>
        </is>
      </c>
      <c r="D200" t="n">
        <v>108312</v>
      </c>
      <c r="E200" t="n">
        <v>4182521</v>
      </c>
      <c r="F200" t="n">
        <v>38.61549043503952</v>
      </c>
      <c r="G200" t="n">
        <v>127.654513681656</v>
      </c>
    </row>
    <row r="201">
      <c r="A201" t="inlineStr">
        <is>
          <t>鉄筋コンクリート造</t>
        </is>
      </c>
      <c r="B201" t="inlineStr">
        <is>
          <t>その他</t>
        </is>
      </c>
      <c r="C201" t="inlineStr">
        <is>
          <t>令和4年11月分</t>
        </is>
      </c>
      <c r="D201" t="n">
        <v>196902</v>
      </c>
      <c r="E201" t="n">
        <v>9093172</v>
      </c>
      <c r="F201" t="n">
        <v>46.18120689480046</v>
      </c>
      <c r="G201" t="n">
        <v>152.6651465764728</v>
      </c>
    </row>
    <row r="202">
      <c r="A202" t="inlineStr">
        <is>
          <t>鉄筋コンクリート造</t>
        </is>
      </c>
      <c r="B202" t="inlineStr">
        <is>
          <t>その他</t>
        </is>
      </c>
      <c r="C202" t="inlineStr">
        <is>
          <t>令和5年2月分</t>
        </is>
      </c>
      <c r="D202" t="n">
        <v>124745</v>
      </c>
      <c r="E202" t="n">
        <v>5453712</v>
      </c>
      <c r="F202" t="n">
        <v>43.7188825203415</v>
      </c>
      <c r="G202" t="n">
        <v>144.525231298773</v>
      </c>
    </row>
    <row r="203">
      <c r="A203" t="inlineStr">
        <is>
          <t>鉄筋コンクリート造</t>
        </is>
      </c>
      <c r="B203" t="inlineStr">
        <is>
          <t>その他</t>
        </is>
      </c>
      <c r="C203" t="inlineStr">
        <is>
          <t>令和5年5月分</t>
        </is>
      </c>
      <c r="D203" t="n">
        <v>162589</v>
      </c>
      <c r="E203" t="n">
        <v>6832117</v>
      </c>
      <c r="F203" t="n">
        <v>42.02078246375831</v>
      </c>
      <c r="G203" t="n">
        <v>138.9116773994492</v>
      </c>
    </row>
    <row r="204">
      <c r="A204" t="inlineStr">
        <is>
          <t>鉄筋コンクリート造</t>
        </is>
      </c>
      <c r="B204" t="inlineStr">
        <is>
          <t>その他</t>
        </is>
      </c>
      <c r="C204" t="inlineStr">
        <is>
          <t>令和5年8月分</t>
        </is>
      </c>
      <c r="D204" t="n">
        <v>164354</v>
      </c>
      <c r="E204" t="n">
        <v>8016236</v>
      </c>
      <c r="F204" t="n">
        <v>48.77420689487326</v>
      </c>
      <c r="G204" t="n">
        <v>161.2370473928734</v>
      </c>
    </row>
    <row r="205">
      <c r="A205" t="inlineStr">
        <is>
          <t>鉄筋コンクリート造</t>
        </is>
      </c>
      <c r="B205" t="inlineStr">
        <is>
          <t>その他</t>
        </is>
      </c>
      <c r="C205" t="inlineStr">
        <is>
          <t>令和5年11月分</t>
        </is>
      </c>
      <c r="D205" t="n">
        <v>155119</v>
      </c>
      <c r="E205" t="n">
        <v>6724494</v>
      </c>
      <c r="F205" t="n">
        <v>43.35055022273222</v>
      </c>
      <c r="G205" t="n">
        <v>143.3076038701209</v>
      </c>
    </row>
    <row r="206">
      <c r="A206" t="inlineStr">
        <is>
          <t>鉄筋コンクリート造</t>
        </is>
      </c>
      <c r="B206" t="inlineStr">
        <is>
          <t>その他</t>
        </is>
      </c>
      <c r="C206" t="inlineStr">
        <is>
          <t>令和6年2月分</t>
        </is>
      </c>
      <c r="D206" t="n">
        <v>157352</v>
      </c>
      <c r="E206" t="n">
        <v>8032040</v>
      </c>
      <c r="F206" t="n">
        <v>51.0450455030759</v>
      </c>
      <c r="G206" t="n">
        <v>168.7439518737912</v>
      </c>
    </row>
    <row r="207">
      <c r="A207" t="inlineStr">
        <is>
          <t>鉄筋コンクリート造</t>
        </is>
      </c>
      <c r="B207" t="inlineStr">
        <is>
          <t>その他</t>
        </is>
      </c>
      <c r="C207" t="inlineStr">
        <is>
          <t>令和6年5月分</t>
        </is>
      </c>
      <c r="D207" t="n">
        <v>148141</v>
      </c>
      <c r="E207" t="n">
        <v>7330161</v>
      </c>
      <c r="F207" t="n">
        <v>49.48097420700549</v>
      </c>
      <c r="G207" t="n">
        <v>163.5734682566225</v>
      </c>
    </row>
    <row r="208">
      <c r="A208" t="inlineStr">
        <is>
          <t>鉄筋コンクリート造</t>
        </is>
      </c>
      <c r="B208" t="inlineStr">
        <is>
          <t>その他</t>
        </is>
      </c>
      <c r="C208" t="inlineStr">
        <is>
          <t>令和6年8月分</t>
        </is>
      </c>
      <c r="D208" t="n">
        <v>224207</v>
      </c>
      <c r="E208" t="n">
        <v>13715335</v>
      </c>
      <c r="F208" t="n">
        <v>61.17264402984742</v>
      </c>
      <c r="G208" t="n">
        <v>202.2236163849264</v>
      </c>
    </row>
    <row r="209">
      <c r="A209" t="inlineStr">
        <is>
          <t>鉄筋コンクリート造</t>
        </is>
      </c>
      <c r="B209" t="inlineStr">
        <is>
          <t>その他</t>
        </is>
      </c>
      <c r="C209" t="inlineStr">
        <is>
          <t>令和6年11月分</t>
        </is>
      </c>
      <c r="D209" t="n">
        <v>129124</v>
      </c>
      <c r="E209" t="n">
        <v>6513811</v>
      </c>
      <c r="F209" t="n">
        <v>50.44616802453456</v>
      </c>
      <c r="G209" t="n">
        <v>166.7641916165261</v>
      </c>
    </row>
    <row r="210">
      <c r="A210" t="inlineStr">
        <is>
          <t>鉄筋コンクリート造</t>
        </is>
      </c>
      <c r="B210" t="inlineStr">
        <is>
          <t>その他</t>
        </is>
      </c>
      <c r="C210" t="inlineStr">
        <is>
          <t>令和7年2月分</t>
        </is>
      </c>
      <c r="D210" t="n">
        <v>123812</v>
      </c>
      <c r="E210" t="n">
        <v>6408679.0338</v>
      </c>
      <c r="F210" t="n">
        <v>51.76137235324524</v>
      </c>
      <c r="G210" t="n">
        <v>171.1119745161375</v>
      </c>
    </row>
    <row r="211">
      <c r="A211" t="inlineStr">
        <is>
          <t>鉄筋コンクリート造</t>
        </is>
      </c>
      <c r="B211" t="inlineStr">
        <is>
          <t>その他</t>
        </is>
      </c>
      <c r="C211" t="inlineStr">
        <is>
          <t>令和7年5月分</t>
        </is>
      </c>
      <c r="D211" t="n">
        <v>149719</v>
      </c>
      <c r="E211" t="n">
        <v>6668545.8623</v>
      </c>
      <c r="F211" t="n">
        <v>44.54041145278823</v>
      </c>
      <c r="G211" t="n">
        <v>147.2410294193049</v>
      </c>
    </row>
    <row r="212">
      <c r="A212" t="inlineStr">
        <is>
          <t>鉄骨造</t>
        </is>
      </c>
      <c r="B212" t="inlineStr">
        <is>
          <t>事務所</t>
        </is>
      </c>
      <c r="C212" t="inlineStr">
        <is>
          <t>2015（基準）</t>
        </is>
      </c>
      <c r="D212" t="n">
        <v>4986837</v>
      </c>
      <c r="E212" t="n">
        <v>138290050</v>
      </c>
      <c r="F212" t="n">
        <v>27.73101466921818</v>
      </c>
      <c r="G212" t="n">
        <v>91.6727756560032</v>
      </c>
    </row>
    <row r="213">
      <c r="A213" t="inlineStr">
        <is>
          <t>鉄骨造</t>
        </is>
      </c>
      <c r="B213" t="inlineStr">
        <is>
          <t>事務所</t>
        </is>
      </c>
      <c r="C213" t="inlineStr">
        <is>
          <t>令和4年1月分</t>
        </is>
      </c>
      <c r="D213" t="n">
        <v>304427</v>
      </c>
      <c r="E213" t="n">
        <v>9964888</v>
      </c>
      <c r="F213" t="n">
        <v>32.73325953348422</v>
      </c>
      <c r="G213" t="n">
        <v>108.2091222948903</v>
      </c>
    </row>
    <row r="214">
      <c r="A214" t="inlineStr">
        <is>
          <t>鉄骨造</t>
        </is>
      </c>
      <c r="B214" t="inlineStr">
        <is>
          <t>事務所</t>
        </is>
      </c>
      <c r="C214" t="inlineStr">
        <is>
          <t>令和4年2月分</t>
        </is>
      </c>
      <c r="D214" t="n">
        <v>234568</v>
      </c>
      <c r="E214" t="n">
        <v>7178890</v>
      </c>
      <c r="F214" t="n">
        <v>30.60472869274581</v>
      </c>
      <c r="G214" t="n">
        <v>101.1726567141162</v>
      </c>
    </row>
    <row r="215">
      <c r="A215" t="inlineStr">
        <is>
          <t>鉄骨造</t>
        </is>
      </c>
      <c r="B215" t="inlineStr">
        <is>
          <t>事務所</t>
        </is>
      </c>
      <c r="C215" t="inlineStr">
        <is>
          <t>令和4年3月分</t>
        </is>
      </c>
      <c r="D215" t="n">
        <v>326568</v>
      </c>
      <c r="E215" t="n">
        <v>8655630</v>
      </c>
      <c r="F215" t="n">
        <v>26.50483207172779</v>
      </c>
      <c r="G215" t="n">
        <v>87.61927947081649</v>
      </c>
    </row>
    <row r="216">
      <c r="A216" t="inlineStr">
        <is>
          <t>鉄骨造</t>
        </is>
      </c>
      <c r="B216" t="inlineStr">
        <is>
          <t>事務所</t>
        </is>
      </c>
      <c r="C216" t="inlineStr">
        <is>
          <t>令和4年4月分</t>
        </is>
      </c>
      <c r="D216" t="n">
        <v>372268</v>
      </c>
      <c r="E216" t="n">
        <v>11180130</v>
      </c>
      <c r="F216" t="n">
        <v>30.0324766028775</v>
      </c>
      <c r="G216" t="n">
        <v>99.28091427054058</v>
      </c>
    </row>
    <row r="217">
      <c r="A217" t="inlineStr">
        <is>
          <t>鉄骨造</t>
        </is>
      </c>
      <c r="B217" t="inlineStr">
        <is>
          <t>事務所</t>
        </is>
      </c>
      <c r="C217" t="inlineStr">
        <is>
          <t>令和4年5月分</t>
        </is>
      </c>
      <c r="D217" t="n">
        <v>251106</v>
      </c>
      <c r="E217" t="n">
        <v>9823521</v>
      </c>
      <c r="F217" t="n">
        <v>39.12101264008029</v>
      </c>
      <c r="G217" t="n">
        <v>129.3256614649093</v>
      </c>
    </row>
    <row r="218">
      <c r="A218" t="inlineStr">
        <is>
          <t>鉄骨造</t>
        </is>
      </c>
      <c r="B218" t="inlineStr">
        <is>
          <t>事務所</t>
        </is>
      </c>
      <c r="C218" t="inlineStr">
        <is>
          <t>令和4年6月分</t>
        </is>
      </c>
      <c r="D218" t="n">
        <v>384784</v>
      </c>
      <c r="E218" t="n">
        <v>13228464</v>
      </c>
      <c r="F218" t="n">
        <v>34.37893467503847</v>
      </c>
      <c r="G218" t="n">
        <v>113.6493706901942</v>
      </c>
    </row>
    <row r="219">
      <c r="A219" t="inlineStr">
        <is>
          <t>鉄骨造</t>
        </is>
      </c>
      <c r="B219" t="inlineStr">
        <is>
          <t>事務所</t>
        </is>
      </c>
      <c r="C219" t="inlineStr">
        <is>
          <t>令和4年7月分</t>
        </is>
      </c>
      <c r="D219" t="n">
        <v>438227</v>
      </c>
      <c r="E219" t="n">
        <v>19316127</v>
      </c>
      <c r="F219" t="n">
        <v>44.07790254822272</v>
      </c>
      <c r="G219" t="n">
        <v>145.7120743647248</v>
      </c>
    </row>
    <row r="220">
      <c r="A220" t="inlineStr">
        <is>
          <t>鉄骨造</t>
        </is>
      </c>
      <c r="B220" t="inlineStr">
        <is>
          <t>事務所</t>
        </is>
      </c>
      <c r="C220" t="inlineStr">
        <is>
          <t>令和4年8月分</t>
        </is>
      </c>
      <c r="D220" t="n">
        <v>288928</v>
      </c>
      <c r="E220" t="n">
        <v>8129108</v>
      </c>
      <c r="F220" t="n">
        <v>28.13541089821686</v>
      </c>
      <c r="G220" t="n">
        <v>93.00962269241111</v>
      </c>
    </row>
    <row r="221">
      <c r="A221" t="inlineStr">
        <is>
          <t>鉄骨造</t>
        </is>
      </c>
      <c r="B221" t="inlineStr">
        <is>
          <t>事務所</t>
        </is>
      </c>
      <c r="C221" t="inlineStr">
        <is>
          <t>令和4年9月分</t>
        </is>
      </c>
      <c r="D221" t="n">
        <v>416123</v>
      </c>
      <c r="E221" t="n">
        <v>18487312</v>
      </c>
      <c r="F221" t="n">
        <v>44.4275178252584</v>
      </c>
      <c r="G221" t="n">
        <v>146.867827345274</v>
      </c>
    </row>
    <row r="222">
      <c r="A222" t="inlineStr">
        <is>
          <t>鉄骨造</t>
        </is>
      </c>
      <c r="B222" t="inlineStr">
        <is>
          <t>事務所</t>
        </is>
      </c>
      <c r="C222" t="inlineStr">
        <is>
          <t>令和4年10月分</t>
        </is>
      </c>
      <c r="D222" t="n">
        <v>335080</v>
      </c>
      <c r="E222" t="n">
        <v>11983171</v>
      </c>
      <c r="F222" t="n">
        <v>35.76211949385221</v>
      </c>
      <c r="G222" t="n">
        <v>118.2218824824386</v>
      </c>
    </row>
    <row r="223">
      <c r="A223" t="inlineStr">
        <is>
          <t>鉄骨造</t>
        </is>
      </c>
      <c r="B223" t="inlineStr">
        <is>
          <t>事務所</t>
        </is>
      </c>
      <c r="C223" t="inlineStr">
        <is>
          <t>令和4年11月分</t>
        </is>
      </c>
      <c r="D223" t="n">
        <v>396639</v>
      </c>
      <c r="E223" t="n">
        <v>14275145</v>
      </c>
      <c r="F223" t="n">
        <v>35.99027074997668</v>
      </c>
      <c r="G223" t="n">
        <v>118.9761015100441</v>
      </c>
    </row>
    <row r="224">
      <c r="A224" t="inlineStr">
        <is>
          <t>鉄骨造</t>
        </is>
      </c>
      <c r="B224" t="inlineStr">
        <is>
          <t>事務所</t>
        </is>
      </c>
      <c r="C224" t="inlineStr">
        <is>
          <t>令和4年12月分</t>
        </is>
      </c>
      <c r="D224" t="n">
        <v>243333</v>
      </c>
      <c r="E224" t="n">
        <v>11055431</v>
      </c>
      <c r="F224" t="n">
        <v>45.43334031964427</v>
      </c>
      <c r="G224" t="n">
        <v>150.1928603805761</v>
      </c>
    </row>
    <row r="225">
      <c r="A225" t="inlineStr">
        <is>
          <t>鉄骨造</t>
        </is>
      </c>
      <c r="B225" t="inlineStr">
        <is>
          <t>事務所</t>
        </is>
      </c>
      <c r="C225" t="inlineStr">
        <is>
          <t>令和5年1月分</t>
        </is>
      </c>
      <c r="D225" t="n">
        <v>265880</v>
      </c>
      <c r="E225" t="n">
        <v>9030358</v>
      </c>
      <c r="F225" t="n">
        <v>33.96403640740184</v>
      </c>
      <c r="G225" t="n">
        <v>112.2778061707272</v>
      </c>
    </row>
    <row r="226">
      <c r="A226" t="inlineStr">
        <is>
          <t>鉄骨造</t>
        </is>
      </c>
      <c r="B226" t="inlineStr">
        <is>
          <t>事務所</t>
        </is>
      </c>
      <c r="C226" t="inlineStr">
        <is>
          <t>令和5年2月分</t>
        </is>
      </c>
      <c r="D226" t="n">
        <v>252616</v>
      </c>
      <c r="E226" t="n">
        <v>8814267</v>
      </c>
      <c r="F226" t="n">
        <v>34.89195854577699</v>
      </c>
      <c r="G226" t="n">
        <v>115.3453173682864</v>
      </c>
    </row>
    <row r="227">
      <c r="A227" t="inlineStr">
        <is>
          <t>鉄骨造</t>
        </is>
      </c>
      <c r="B227" t="inlineStr">
        <is>
          <t>事務所</t>
        </is>
      </c>
      <c r="C227" t="inlineStr">
        <is>
          <t>令和5年3月分</t>
        </is>
      </c>
      <c r="D227" t="n">
        <v>262835</v>
      </c>
      <c r="E227" t="n">
        <v>9011710</v>
      </c>
      <c r="F227" t="n">
        <v>34.28656761846786</v>
      </c>
      <c r="G227" t="n">
        <v>113.3440250490049</v>
      </c>
    </row>
    <row r="228">
      <c r="A228" t="inlineStr">
        <is>
          <t>鉄骨造</t>
        </is>
      </c>
      <c r="B228" t="inlineStr">
        <is>
          <t>事務所</t>
        </is>
      </c>
      <c r="C228" t="inlineStr">
        <is>
          <t>令和5年4月分</t>
        </is>
      </c>
      <c r="D228" t="n">
        <v>375752</v>
      </c>
      <c r="E228" t="n">
        <v>13476755</v>
      </c>
      <c r="F228" t="n">
        <v>35.86608986778513</v>
      </c>
      <c r="G228" t="n">
        <v>118.5655861975069</v>
      </c>
    </row>
    <row r="229">
      <c r="A229" t="inlineStr">
        <is>
          <t>鉄骨造</t>
        </is>
      </c>
      <c r="B229" t="inlineStr">
        <is>
          <t>事務所</t>
        </is>
      </c>
      <c r="C229" t="inlineStr">
        <is>
          <t>令和5年5月分</t>
        </is>
      </c>
      <c r="D229" t="n">
        <v>265069</v>
      </c>
      <c r="E229" t="n">
        <v>9528771</v>
      </c>
      <c r="F229" t="n">
        <v>35.94826630047271</v>
      </c>
      <c r="G229" t="n">
        <v>118.8372438259001</v>
      </c>
    </row>
    <row r="230">
      <c r="A230" t="inlineStr">
        <is>
          <t>鉄骨造</t>
        </is>
      </c>
      <c r="B230" t="inlineStr">
        <is>
          <t>事務所</t>
        </is>
      </c>
      <c r="C230" t="inlineStr">
        <is>
          <t>令和5年6月分</t>
        </is>
      </c>
      <c r="D230" t="n">
        <v>283220</v>
      </c>
      <c r="E230" t="n">
        <v>10474266</v>
      </c>
      <c r="F230" t="n">
        <v>36.98279076336417</v>
      </c>
      <c r="G230" t="n">
        <v>122.2571594016027</v>
      </c>
    </row>
    <row r="231">
      <c r="A231" t="inlineStr">
        <is>
          <t>鉄骨造</t>
        </is>
      </c>
      <c r="B231" t="inlineStr">
        <is>
          <t>事務所</t>
        </is>
      </c>
      <c r="C231" t="inlineStr">
        <is>
          <t>令和5年7月分</t>
        </is>
      </c>
      <c r="D231" t="n">
        <v>371653</v>
      </c>
      <c r="E231" t="n">
        <v>17028276</v>
      </c>
      <c r="F231" t="n">
        <v>45.81767401312515</v>
      </c>
      <c r="G231" t="n">
        <v>151.4633849855998</v>
      </c>
    </row>
    <row r="232">
      <c r="A232" t="inlineStr">
        <is>
          <t>鉄骨造</t>
        </is>
      </c>
      <c r="B232" t="inlineStr">
        <is>
          <t>事務所</t>
        </is>
      </c>
      <c r="C232" t="inlineStr">
        <is>
          <t>令和5年8月分</t>
        </is>
      </c>
      <c r="D232" t="n">
        <v>177442</v>
      </c>
      <c r="E232" t="n">
        <v>6836406</v>
      </c>
      <c r="F232" t="n">
        <v>38.5275526650962</v>
      </c>
      <c r="G232" t="n">
        <v>127.3638103102914</v>
      </c>
    </row>
    <row r="233">
      <c r="A233" t="inlineStr">
        <is>
          <t>鉄骨造</t>
        </is>
      </c>
      <c r="B233" t="inlineStr">
        <is>
          <t>事務所</t>
        </is>
      </c>
      <c r="C233" t="inlineStr">
        <is>
          <t>令和5年9月分</t>
        </is>
      </c>
      <c r="D233" t="n">
        <v>264665</v>
      </c>
      <c r="E233" t="n">
        <v>10186205</v>
      </c>
      <c r="F233" t="n">
        <v>38.48716301739935</v>
      </c>
      <c r="G233" t="n">
        <v>127.2302908139331</v>
      </c>
    </row>
    <row r="234">
      <c r="A234" t="inlineStr">
        <is>
          <t>鉄骨造</t>
        </is>
      </c>
      <c r="B234" t="inlineStr">
        <is>
          <t>事務所</t>
        </is>
      </c>
      <c r="C234" t="inlineStr">
        <is>
          <t>令和5年10月分</t>
        </is>
      </c>
      <c r="D234" t="n">
        <v>301774</v>
      </c>
      <c r="E234" t="n">
        <v>11024756</v>
      </c>
      <c r="F234" t="n">
        <v>36.53315394964444</v>
      </c>
      <c r="G234" t="n">
        <v>120.7707567134038</v>
      </c>
    </row>
    <row r="235">
      <c r="A235" t="inlineStr">
        <is>
          <t>鉄骨造</t>
        </is>
      </c>
      <c r="B235" t="inlineStr">
        <is>
          <t>事務所</t>
        </is>
      </c>
      <c r="C235" t="inlineStr">
        <is>
          <t>令和5年11月分</t>
        </is>
      </c>
      <c r="D235" t="n">
        <v>293557</v>
      </c>
      <c r="E235" t="n">
        <v>10566113</v>
      </c>
      <c r="F235" t="n">
        <v>35.99339480918527</v>
      </c>
      <c r="G235" t="n">
        <v>118.9864289784899</v>
      </c>
    </row>
    <row r="236">
      <c r="A236" t="inlineStr">
        <is>
          <t>鉄骨造</t>
        </is>
      </c>
      <c r="B236" t="inlineStr">
        <is>
          <t>事務所</t>
        </is>
      </c>
      <c r="C236" t="inlineStr">
        <is>
          <t>令和5年12月分</t>
        </is>
      </c>
      <c r="D236" t="n">
        <v>772017</v>
      </c>
      <c r="E236" t="n">
        <v>49470449</v>
      </c>
      <c r="F236" t="n">
        <v>64.07948141038345</v>
      </c>
      <c r="G236" t="n">
        <v>211.8329961437622</v>
      </c>
    </row>
    <row r="237">
      <c r="A237" t="inlineStr">
        <is>
          <t>鉄骨造</t>
        </is>
      </c>
      <c r="B237" t="inlineStr">
        <is>
          <t>事務所</t>
        </is>
      </c>
      <c r="C237" t="inlineStr">
        <is>
          <t>令和6年1月分</t>
        </is>
      </c>
      <c r="D237" t="n">
        <v>696891</v>
      </c>
      <c r="E237" t="n">
        <v>28702203</v>
      </c>
      <c r="F237" t="n">
        <v>41.18607214040646</v>
      </c>
      <c r="G237" t="n">
        <v>136.1523044330022</v>
      </c>
    </row>
    <row r="238">
      <c r="A238" t="inlineStr">
        <is>
          <t>鉄骨造</t>
        </is>
      </c>
      <c r="B238" t="inlineStr">
        <is>
          <t>事務所</t>
        </is>
      </c>
      <c r="C238" t="inlineStr">
        <is>
          <t>令和6年2月分</t>
        </is>
      </c>
      <c r="D238" t="n">
        <v>294618</v>
      </c>
      <c r="E238" t="n">
        <v>12178890</v>
      </c>
      <c r="F238" t="n">
        <v>41.33790196118363</v>
      </c>
      <c r="G238" t="n">
        <v>136.6542211952997</v>
      </c>
    </row>
    <row r="239">
      <c r="A239" t="inlineStr">
        <is>
          <t>鉄骨造</t>
        </is>
      </c>
      <c r="B239" t="inlineStr">
        <is>
          <t>事務所</t>
        </is>
      </c>
      <c r="C239" t="inlineStr">
        <is>
          <t>令和6年3月分</t>
        </is>
      </c>
      <c r="D239" t="n">
        <v>609659</v>
      </c>
      <c r="E239" t="n">
        <v>25614822</v>
      </c>
      <c r="F239" t="n">
        <v>42.01499854836884</v>
      </c>
      <c r="G239" t="n">
        <v>138.8925570180193</v>
      </c>
    </row>
    <row r="240">
      <c r="A240" t="inlineStr">
        <is>
          <t>鉄骨造</t>
        </is>
      </c>
      <c r="B240" t="inlineStr">
        <is>
          <t>事務所</t>
        </is>
      </c>
      <c r="C240" t="inlineStr">
        <is>
          <t>令和6年4月分</t>
        </is>
      </c>
      <c r="D240" t="n">
        <v>346102</v>
      </c>
      <c r="E240" t="n">
        <v>15827781</v>
      </c>
      <c r="F240" t="n">
        <v>45.73155023663544</v>
      </c>
      <c r="G240" t="n">
        <v>151.1786782868019</v>
      </c>
    </row>
    <row r="241">
      <c r="A241" t="inlineStr">
        <is>
          <t>鉄骨造</t>
        </is>
      </c>
      <c r="B241" t="inlineStr">
        <is>
          <t>事務所</t>
        </is>
      </c>
      <c r="C241" t="inlineStr">
        <is>
          <t>令和6年5月分</t>
        </is>
      </c>
      <c r="D241" t="n">
        <v>350082</v>
      </c>
      <c r="E241" t="n">
        <v>8443971</v>
      </c>
      <c r="F241" t="n">
        <v>24.1199804617204</v>
      </c>
      <c r="G241" t="n">
        <v>79.735472505046</v>
      </c>
    </row>
    <row r="242">
      <c r="A242" t="inlineStr">
        <is>
          <t>鉄骨造</t>
        </is>
      </c>
      <c r="B242" t="inlineStr">
        <is>
          <t>事務所</t>
        </is>
      </c>
      <c r="C242" t="inlineStr">
        <is>
          <t>令和6年6月分</t>
        </is>
      </c>
      <c r="D242" t="n">
        <v>265989</v>
      </c>
      <c r="E242" t="n">
        <v>12465579</v>
      </c>
      <c r="F242" t="n">
        <v>46.86501697438616</v>
      </c>
      <c r="G242" t="n">
        <v>154.9256757624732</v>
      </c>
    </row>
    <row r="243">
      <c r="A243" t="inlineStr">
        <is>
          <t>鉄骨造</t>
        </is>
      </c>
      <c r="B243" t="inlineStr">
        <is>
          <t>事務所</t>
        </is>
      </c>
      <c r="C243" t="inlineStr">
        <is>
          <t>令和6年7月分</t>
        </is>
      </c>
      <c r="D243" t="n">
        <v>628940</v>
      </c>
      <c r="E243" t="n">
        <v>25489877</v>
      </c>
      <c r="F243" t="n">
        <v>40.52831271663434</v>
      </c>
      <c r="G243" t="n">
        <v>133.9778931173566</v>
      </c>
    </row>
    <row r="244">
      <c r="A244" t="inlineStr">
        <is>
          <t>鉄骨造</t>
        </is>
      </c>
      <c r="B244" t="inlineStr">
        <is>
          <t>事務所</t>
        </is>
      </c>
      <c r="C244" t="inlineStr">
        <is>
          <t>令和6年8月分</t>
        </is>
      </c>
      <c r="D244" t="n">
        <v>166485</v>
      </c>
      <c r="E244" t="n">
        <v>7412704</v>
      </c>
      <c r="F244" t="n">
        <v>44.52475598402258</v>
      </c>
      <c r="G244" t="n">
        <v>147.1892758036128</v>
      </c>
    </row>
    <row r="245">
      <c r="A245" t="inlineStr">
        <is>
          <t>鉄骨造</t>
        </is>
      </c>
      <c r="B245" t="inlineStr">
        <is>
          <t>事務所</t>
        </is>
      </c>
      <c r="C245" t="inlineStr">
        <is>
          <t>令和6年9月分</t>
        </is>
      </c>
      <c r="D245" t="n">
        <v>274097</v>
      </c>
      <c r="E245" t="n">
        <v>11321662</v>
      </c>
      <c r="F245" t="n">
        <v>41.30531162325746</v>
      </c>
      <c r="G245" t="n">
        <v>136.5464845411275</v>
      </c>
    </row>
    <row r="246">
      <c r="A246" t="inlineStr">
        <is>
          <t>鉄骨造</t>
        </is>
      </c>
      <c r="B246" t="inlineStr">
        <is>
          <t>事務所</t>
        </is>
      </c>
      <c r="C246" t="inlineStr">
        <is>
          <t>令和6年10月分</t>
        </is>
      </c>
      <c r="D246" t="n">
        <v>254290</v>
      </c>
      <c r="E246" t="n">
        <v>10139886</v>
      </c>
      <c r="F246" t="n">
        <v>39.87528412442487</v>
      </c>
      <c r="G246" t="n">
        <v>131.819120914296</v>
      </c>
    </row>
    <row r="247">
      <c r="A247" t="inlineStr">
        <is>
          <t>鉄骨造</t>
        </is>
      </c>
      <c r="B247" t="inlineStr">
        <is>
          <t>事務所</t>
        </is>
      </c>
      <c r="C247" t="inlineStr">
        <is>
          <t>令和6年11月分</t>
        </is>
      </c>
      <c r="D247" t="n">
        <v>170842</v>
      </c>
      <c r="E247" t="n">
        <v>6032659</v>
      </c>
      <c r="F247" t="n">
        <v>35.31133444937428</v>
      </c>
      <c r="G247" t="n">
        <v>116.7316839900849</v>
      </c>
    </row>
    <row r="248">
      <c r="A248" t="inlineStr">
        <is>
          <t>鉄骨造</t>
        </is>
      </c>
      <c r="B248" t="inlineStr">
        <is>
          <t>事務所</t>
        </is>
      </c>
      <c r="C248" t="inlineStr">
        <is>
          <t>令和6年12月分</t>
        </is>
      </c>
      <c r="D248" t="n">
        <v>206504</v>
      </c>
      <c r="E248" t="n">
        <v>8393466</v>
      </c>
      <c r="F248" t="n">
        <v>40.64553713245264</v>
      </c>
      <c r="G248" t="n">
        <v>134.3654118468694</v>
      </c>
    </row>
    <row r="249">
      <c r="A249" t="inlineStr">
        <is>
          <t>鉄骨造</t>
        </is>
      </c>
      <c r="B249" t="inlineStr">
        <is>
          <t>事務所</t>
        </is>
      </c>
      <c r="C249" t="inlineStr">
        <is>
          <t>令和7年1月分</t>
        </is>
      </c>
      <c r="D249" t="n">
        <v>266043</v>
      </c>
      <c r="E249" t="n">
        <v>12105799.10382</v>
      </c>
      <c r="F249" t="n">
        <v>45.50316717154745</v>
      </c>
      <c r="G249" t="n">
        <v>150.4236929485741</v>
      </c>
    </row>
    <row r="250">
      <c r="A250" t="inlineStr">
        <is>
          <t>鉄骨造</t>
        </is>
      </c>
      <c r="B250" t="inlineStr">
        <is>
          <t>事務所</t>
        </is>
      </c>
      <c r="C250" t="inlineStr">
        <is>
          <t>令和7年2月分</t>
        </is>
      </c>
      <c r="D250" t="n">
        <v>186444</v>
      </c>
      <c r="E250" t="n">
        <v>6580223.58564</v>
      </c>
      <c r="F250" t="n">
        <v>35.29329764240201</v>
      </c>
      <c r="G250" t="n">
        <v>116.6720581819836</v>
      </c>
    </row>
    <row r="251">
      <c r="A251" t="inlineStr">
        <is>
          <t>鉄骨造</t>
        </is>
      </c>
      <c r="B251" t="inlineStr">
        <is>
          <t>事務所</t>
        </is>
      </c>
      <c r="C251" t="inlineStr">
        <is>
          <t>令和7年3月分</t>
        </is>
      </c>
      <c r="D251" t="n">
        <v>539369</v>
      </c>
      <c r="E251" t="n">
        <v>38448948.41525</v>
      </c>
      <c r="F251" t="n">
        <v>71.28505423049897</v>
      </c>
      <c r="G251" t="n">
        <v>235.6530715535766</v>
      </c>
    </row>
    <row r="252">
      <c r="A252" t="inlineStr">
        <is>
          <t>鉄骨造</t>
        </is>
      </c>
      <c r="B252" t="inlineStr">
        <is>
          <t>事務所</t>
        </is>
      </c>
      <c r="C252" t="inlineStr">
        <is>
          <t>令和7年4月分</t>
        </is>
      </c>
      <c r="D252" t="n">
        <v>331956</v>
      </c>
      <c r="E252" t="n">
        <v>16259901.10851</v>
      </c>
      <c r="F252" t="n">
        <v>48.98209735178759</v>
      </c>
      <c r="G252" t="n">
        <v>161.9242885719308</v>
      </c>
    </row>
    <row r="253">
      <c r="A253" t="inlineStr">
        <is>
          <t>鉄骨造</t>
        </is>
      </c>
      <c r="B253" t="inlineStr">
        <is>
          <t>事務所</t>
        </is>
      </c>
      <c r="C253" t="inlineStr">
        <is>
          <t>令和7年5月分</t>
        </is>
      </c>
      <c r="D253" t="n">
        <v>266452</v>
      </c>
      <c r="E253" t="n">
        <v>13057560.06959</v>
      </c>
      <c r="F253" t="n">
        <v>49.0052995270818</v>
      </c>
      <c r="G253" t="n">
        <v>162.00098997777</v>
      </c>
    </row>
    <row r="254">
      <c r="A254" t="inlineStr">
        <is>
          <t>鉄骨造</t>
        </is>
      </c>
      <c r="B254" t="inlineStr">
        <is>
          <t>事務所</t>
        </is>
      </c>
      <c r="C254" t="inlineStr">
        <is>
          <t>令和7年6月分</t>
        </is>
      </c>
      <c r="F254" t="e">
        <v>#DIV/0!</v>
      </c>
      <c r="G254" t="e">
        <v>#DIV/0!</v>
      </c>
    </row>
    <row r="255">
      <c r="A255" t="inlineStr">
        <is>
          <t>鉄骨造</t>
        </is>
      </c>
      <c r="B255" t="inlineStr">
        <is>
          <t>事務所</t>
        </is>
      </c>
      <c r="C255" t="inlineStr">
        <is>
          <t>令和7年7月分</t>
        </is>
      </c>
      <c r="F255" t="e">
        <v>#DIV/0!</v>
      </c>
      <c r="G255" t="e">
        <v>#DIV/0!</v>
      </c>
    </row>
    <row r="256">
      <c r="A256" t="inlineStr">
        <is>
          <t>鉄骨造</t>
        </is>
      </c>
      <c r="B256" t="inlineStr">
        <is>
          <t>事務所</t>
        </is>
      </c>
      <c r="C256" t="inlineStr">
        <is>
          <t>令和7年8月分</t>
        </is>
      </c>
      <c r="F256" t="e">
        <v>#DIV/0!</v>
      </c>
      <c r="G256" t="e">
        <v>#DIV/0!</v>
      </c>
    </row>
    <row r="257">
      <c r="A257" t="inlineStr">
        <is>
          <t>鉄骨造</t>
        </is>
      </c>
      <c r="B257" t="inlineStr">
        <is>
          <t>店舗</t>
        </is>
      </c>
      <c r="C257" t="inlineStr">
        <is>
          <t>2015（基準）</t>
        </is>
      </c>
      <c r="D257" t="n">
        <v>5648530</v>
      </c>
      <c r="E257" t="n">
        <v>91415609</v>
      </c>
      <c r="F257" t="n">
        <v>16.18396450049836</v>
      </c>
      <c r="G257" t="n">
        <v>53.50070902835571</v>
      </c>
    </row>
    <row r="258">
      <c r="A258" t="inlineStr">
        <is>
          <t>鉄骨造</t>
        </is>
      </c>
      <c r="B258" t="inlineStr">
        <is>
          <t>店舗</t>
        </is>
      </c>
      <c r="C258" t="inlineStr">
        <is>
          <t>令和4年1月分</t>
        </is>
      </c>
      <c r="D258" t="n">
        <v>235062</v>
      </c>
      <c r="E258" t="n">
        <v>4409546</v>
      </c>
      <c r="F258" t="n">
        <v>18.75907632879836</v>
      </c>
      <c r="G258" t="n">
        <v>62.01347539268585</v>
      </c>
    </row>
    <row r="259">
      <c r="A259" t="inlineStr">
        <is>
          <t>鉄骨造</t>
        </is>
      </c>
      <c r="B259" t="inlineStr">
        <is>
          <t>店舗</t>
        </is>
      </c>
      <c r="C259" t="inlineStr">
        <is>
          <t>令和4年2月分</t>
        </is>
      </c>
      <c r="D259" t="n">
        <v>340618</v>
      </c>
      <c r="E259" t="n">
        <v>5562274</v>
      </c>
      <c r="F259" t="n">
        <v>16.32994733102772</v>
      </c>
      <c r="G259" t="n">
        <v>53.98329689729515</v>
      </c>
    </row>
    <row r="260">
      <c r="A260" t="inlineStr">
        <is>
          <t>鉄骨造</t>
        </is>
      </c>
      <c r="B260" t="inlineStr">
        <is>
          <t>店舗</t>
        </is>
      </c>
      <c r="C260" t="inlineStr">
        <is>
          <t>令和4年3月分</t>
        </is>
      </c>
      <c r="D260" t="n">
        <v>285237</v>
      </c>
      <c r="E260" t="n">
        <v>4767054</v>
      </c>
      <c r="F260" t="n">
        <v>16.71260741067954</v>
      </c>
      <c r="G260" t="n">
        <v>55.24828889462615</v>
      </c>
    </row>
    <row r="261">
      <c r="A261" t="inlineStr">
        <is>
          <t>鉄骨造</t>
        </is>
      </c>
      <c r="B261" t="inlineStr">
        <is>
          <t>店舗</t>
        </is>
      </c>
      <c r="C261" t="inlineStr">
        <is>
          <t>令和4年4月分</t>
        </is>
      </c>
      <c r="D261" t="n">
        <v>376830</v>
      </c>
      <c r="E261" t="n">
        <v>6137473</v>
      </c>
      <c r="F261" t="n">
        <v>16.28711355253032</v>
      </c>
      <c r="G261" t="n">
        <v>53.84169762970506</v>
      </c>
    </row>
    <row r="262">
      <c r="A262" t="inlineStr">
        <is>
          <t>鉄骨造</t>
        </is>
      </c>
      <c r="B262" t="inlineStr">
        <is>
          <t>店舗</t>
        </is>
      </c>
      <c r="C262" t="inlineStr">
        <is>
          <t>令和4年5月分</t>
        </is>
      </c>
      <c r="D262" t="n">
        <v>293027</v>
      </c>
      <c r="E262" t="n">
        <v>4772590</v>
      </c>
      <c r="F262" t="n">
        <v>16.28720220320994</v>
      </c>
      <c r="G262" t="n">
        <v>53.84199068980265</v>
      </c>
    </row>
    <row r="263">
      <c r="A263" t="inlineStr">
        <is>
          <t>鉄骨造</t>
        </is>
      </c>
      <c r="B263" t="inlineStr">
        <is>
          <t>店舗</t>
        </is>
      </c>
      <c r="C263" t="inlineStr">
        <is>
          <t>令和4年6月分</t>
        </is>
      </c>
      <c r="D263" t="n">
        <v>364727</v>
      </c>
      <c r="E263" t="n">
        <v>6242425</v>
      </c>
      <c r="F263" t="n">
        <v>17.1153355797624</v>
      </c>
      <c r="G263" t="n">
        <v>56.57962168338511</v>
      </c>
    </row>
    <row r="264">
      <c r="A264" t="inlineStr">
        <is>
          <t>鉄骨造</t>
        </is>
      </c>
      <c r="B264" t="inlineStr">
        <is>
          <t>店舗</t>
        </is>
      </c>
      <c r="C264" t="inlineStr">
        <is>
          <t>令和4年7月分</t>
        </is>
      </c>
      <c r="D264" t="n">
        <v>409659</v>
      </c>
      <c r="E264" t="n">
        <v>6185950</v>
      </c>
      <c r="F264" t="n">
        <v>15.10024190851416</v>
      </c>
      <c r="G264" t="n">
        <v>49.91815500956649</v>
      </c>
    </row>
    <row r="265">
      <c r="A265" t="inlineStr">
        <is>
          <t>鉄骨造</t>
        </is>
      </c>
      <c r="B265" t="inlineStr">
        <is>
          <t>店舗</t>
        </is>
      </c>
      <c r="C265" t="inlineStr">
        <is>
          <t>令和4年8月分</t>
        </is>
      </c>
      <c r="D265" t="n">
        <v>259968</v>
      </c>
      <c r="E265" t="n">
        <v>4368510</v>
      </c>
      <c r="F265" t="n">
        <v>16.8040297267356</v>
      </c>
      <c r="G265" t="n">
        <v>55.55051142668021</v>
      </c>
    </row>
    <row r="266">
      <c r="A266" t="inlineStr">
        <is>
          <t>鉄骨造</t>
        </is>
      </c>
      <c r="B266" t="inlineStr">
        <is>
          <t>店舗</t>
        </is>
      </c>
      <c r="C266" t="inlineStr">
        <is>
          <t>令和4年9月分</t>
        </is>
      </c>
      <c r="D266" t="n">
        <v>283028</v>
      </c>
      <c r="E266" t="n">
        <v>4752291</v>
      </c>
      <c r="F266" t="n">
        <v>16.79088641406504</v>
      </c>
      <c r="G266" t="n">
        <v>55.50706245922636</v>
      </c>
    </row>
    <row r="267">
      <c r="A267" t="inlineStr">
        <is>
          <t>鉄骨造</t>
        </is>
      </c>
      <c r="B267" t="inlineStr">
        <is>
          <t>店舗</t>
        </is>
      </c>
      <c r="C267" t="inlineStr">
        <is>
          <t>令和4年10月分</t>
        </is>
      </c>
      <c r="D267" t="n">
        <v>297073</v>
      </c>
      <c r="E267" t="n">
        <v>5803999</v>
      </c>
      <c r="F267" t="n">
        <v>19.53728208218182</v>
      </c>
      <c r="G267" t="n">
        <v>64.58605639251928</v>
      </c>
    </row>
    <row r="268">
      <c r="A268" t="inlineStr">
        <is>
          <t>鉄骨造</t>
        </is>
      </c>
      <c r="B268" t="inlineStr">
        <is>
          <t>店舗</t>
        </is>
      </c>
      <c r="C268" t="inlineStr">
        <is>
          <t>令和4年11月分</t>
        </is>
      </c>
      <c r="D268" t="n">
        <v>297961</v>
      </c>
      <c r="E268" t="n">
        <v>6201695</v>
      </c>
      <c r="F268" t="n">
        <v>20.81378099818433</v>
      </c>
      <c r="G268" t="n">
        <v>68.8058875147365</v>
      </c>
    </row>
    <row r="269">
      <c r="A269" t="inlineStr">
        <is>
          <t>鉄骨造</t>
        </is>
      </c>
      <c r="B269" t="inlineStr">
        <is>
          <t>店舗</t>
        </is>
      </c>
      <c r="C269" t="inlineStr">
        <is>
          <t>令和4年12月分</t>
        </is>
      </c>
      <c r="D269" t="n">
        <v>336799</v>
      </c>
      <c r="E269" t="n">
        <v>7061378</v>
      </c>
      <c r="F269" t="n">
        <v>20.96614894937337</v>
      </c>
      <c r="G269" t="n">
        <v>69.30958322054211</v>
      </c>
    </row>
    <row r="270">
      <c r="A270" t="inlineStr">
        <is>
          <t>鉄骨造</t>
        </is>
      </c>
      <c r="B270" t="inlineStr">
        <is>
          <t>店舗</t>
        </is>
      </c>
      <c r="C270" t="inlineStr">
        <is>
          <t>令和5年1月分</t>
        </is>
      </c>
      <c r="D270" t="n">
        <v>349495</v>
      </c>
      <c r="E270" t="n">
        <v>6533442</v>
      </c>
      <c r="F270" t="n">
        <v>18.69394984191476</v>
      </c>
      <c r="G270" t="n">
        <v>61.79818122142817</v>
      </c>
    </row>
    <row r="271">
      <c r="A271" t="inlineStr">
        <is>
          <t>鉄骨造</t>
        </is>
      </c>
      <c r="B271" t="inlineStr">
        <is>
          <t>店舗</t>
        </is>
      </c>
      <c r="C271" t="inlineStr">
        <is>
          <t>令和5年2月分</t>
        </is>
      </c>
      <c r="D271" t="n">
        <v>299766</v>
      </c>
      <c r="E271" t="n">
        <v>9026374</v>
      </c>
      <c r="F271" t="n">
        <v>30.11140022550923</v>
      </c>
      <c r="G271" t="n">
        <v>99.54181880785305</v>
      </c>
    </row>
    <row r="272">
      <c r="A272" t="inlineStr">
        <is>
          <t>鉄骨造</t>
        </is>
      </c>
      <c r="B272" t="inlineStr">
        <is>
          <t>店舗</t>
        </is>
      </c>
      <c r="C272" t="inlineStr">
        <is>
          <t>令和5年3月分</t>
        </is>
      </c>
      <c r="D272" t="n">
        <v>265050</v>
      </c>
      <c r="E272" t="n">
        <v>4385844</v>
      </c>
      <c r="F272" t="n">
        <v>16.54723259762309</v>
      </c>
      <c r="G272" t="n">
        <v>54.70159529840136</v>
      </c>
    </row>
    <row r="273">
      <c r="A273" t="inlineStr">
        <is>
          <t>鉄骨造</t>
        </is>
      </c>
      <c r="B273" t="inlineStr">
        <is>
          <t>店舗</t>
        </is>
      </c>
      <c r="C273" t="inlineStr">
        <is>
          <t>令和5年4月分</t>
        </is>
      </c>
      <c r="D273" t="n">
        <v>301640</v>
      </c>
      <c r="E273" t="n">
        <v>5766701</v>
      </c>
      <c r="F273" t="n">
        <v>19.11782588516112</v>
      </c>
      <c r="G273" t="n">
        <v>63.19942433791645</v>
      </c>
    </row>
    <row r="274">
      <c r="A274" t="inlineStr">
        <is>
          <t>鉄骨造</t>
        </is>
      </c>
      <c r="B274" t="inlineStr">
        <is>
          <t>店舗</t>
        </is>
      </c>
      <c r="C274" t="inlineStr">
        <is>
          <t>令和5年5月分</t>
        </is>
      </c>
      <c r="D274" t="n">
        <v>273555</v>
      </c>
      <c r="E274" t="n">
        <v>5429301</v>
      </c>
      <c r="F274" t="n">
        <v>19.84720074573669</v>
      </c>
      <c r="G274" t="n">
        <v>65.61058089890925</v>
      </c>
    </row>
    <row r="275">
      <c r="A275" t="inlineStr">
        <is>
          <t>鉄骨造</t>
        </is>
      </c>
      <c r="B275" t="inlineStr">
        <is>
          <t>店舗</t>
        </is>
      </c>
      <c r="C275" t="inlineStr">
        <is>
          <t>令和5年6月分</t>
        </is>
      </c>
      <c r="D275" t="n">
        <v>242463</v>
      </c>
      <c r="E275" t="n">
        <v>5250744</v>
      </c>
      <c r="F275" t="n">
        <v>21.65585676989891</v>
      </c>
      <c r="G275" t="n">
        <v>71.58960907078308</v>
      </c>
    </row>
    <row r="276">
      <c r="A276" t="inlineStr">
        <is>
          <t>鉄骨造</t>
        </is>
      </c>
      <c r="B276" t="inlineStr">
        <is>
          <t>店舗</t>
        </is>
      </c>
      <c r="C276" t="inlineStr">
        <is>
          <t>令和5年7月分</t>
        </is>
      </c>
      <c r="D276" t="n">
        <v>260084</v>
      </c>
      <c r="E276" t="n">
        <v>4704308</v>
      </c>
      <c r="F276" t="n">
        <v>18.08764860583504</v>
      </c>
      <c r="G276" t="n">
        <v>59.79387961695821</v>
      </c>
    </row>
    <row r="277">
      <c r="A277" t="inlineStr">
        <is>
          <t>鉄骨造</t>
        </is>
      </c>
      <c r="B277" t="inlineStr">
        <is>
          <t>店舗</t>
        </is>
      </c>
      <c r="C277" t="inlineStr">
        <is>
          <t>令和5年8月分</t>
        </is>
      </c>
      <c r="D277" t="n">
        <v>293055</v>
      </c>
      <c r="E277" t="n">
        <v>5122568</v>
      </c>
      <c r="F277" t="n">
        <v>17.47988602821996</v>
      </c>
      <c r="G277" t="n">
        <v>57.78474713138544</v>
      </c>
    </row>
    <row r="278">
      <c r="A278" t="inlineStr">
        <is>
          <t>鉄骨造</t>
        </is>
      </c>
      <c r="B278" t="inlineStr">
        <is>
          <t>店舗</t>
        </is>
      </c>
      <c r="C278" t="inlineStr">
        <is>
          <t>令和5年9月分</t>
        </is>
      </c>
      <c r="D278" t="n">
        <v>319914</v>
      </c>
      <c r="E278" t="n">
        <v>5949907</v>
      </c>
      <c r="F278" t="n">
        <v>18.5984577105097</v>
      </c>
      <c r="G278" t="n">
        <v>61.48250475435223</v>
      </c>
    </row>
    <row r="279">
      <c r="A279" t="inlineStr">
        <is>
          <t>鉄骨造</t>
        </is>
      </c>
      <c r="B279" t="inlineStr">
        <is>
          <t>店舗</t>
        </is>
      </c>
      <c r="C279" t="inlineStr">
        <is>
          <t>令和5年10月分</t>
        </is>
      </c>
      <c r="D279" t="n">
        <v>373898</v>
      </c>
      <c r="E279" t="n">
        <v>6937033</v>
      </c>
      <c r="F279" t="n">
        <v>18.55327656205703</v>
      </c>
      <c r="G279" t="n">
        <v>61.33314558609289</v>
      </c>
    </row>
    <row r="280">
      <c r="A280" t="inlineStr">
        <is>
          <t>鉄骨造</t>
        </is>
      </c>
      <c r="B280" t="inlineStr">
        <is>
          <t>店舗</t>
        </is>
      </c>
      <c r="C280" t="inlineStr">
        <is>
          <t>令和5年11月分</t>
        </is>
      </c>
      <c r="D280" t="n">
        <v>259485</v>
      </c>
      <c r="E280" t="n">
        <v>5528798</v>
      </c>
      <c r="F280" t="n">
        <v>21.3068115690695</v>
      </c>
      <c r="G280" t="n">
        <v>70.43574063967381</v>
      </c>
    </row>
    <row r="281">
      <c r="A281" t="inlineStr">
        <is>
          <t>鉄骨造</t>
        </is>
      </c>
      <c r="B281" t="inlineStr">
        <is>
          <t>店舗</t>
        </is>
      </c>
      <c r="C281" t="inlineStr">
        <is>
          <t>令和5年12月分</t>
        </is>
      </c>
      <c r="D281" t="n">
        <v>271390</v>
      </c>
      <c r="E281" t="n">
        <v>5482636</v>
      </c>
      <c r="F281" t="n">
        <v>20.20205608165371</v>
      </c>
      <c r="G281" t="n">
        <v>66.78365638813634</v>
      </c>
    </row>
    <row r="282">
      <c r="A282" t="inlineStr">
        <is>
          <t>鉄骨造</t>
        </is>
      </c>
      <c r="B282" t="inlineStr">
        <is>
          <t>店舗</t>
        </is>
      </c>
      <c r="C282" t="inlineStr">
        <is>
          <t>令和6年1月分</t>
        </is>
      </c>
      <c r="D282" t="n">
        <v>251489</v>
      </c>
      <c r="E282" t="n">
        <v>5666683</v>
      </c>
      <c r="F282" t="n">
        <v>22.53252826167347</v>
      </c>
      <c r="G282" t="n">
        <v>74.48769664341964</v>
      </c>
    </row>
    <row r="283">
      <c r="A283" t="inlineStr">
        <is>
          <t>鉄骨造</t>
        </is>
      </c>
      <c r="B283" t="inlineStr">
        <is>
          <t>店舗</t>
        </is>
      </c>
      <c r="C283" t="inlineStr">
        <is>
          <t>令和6年2月分</t>
        </is>
      </c>
      <c r="D283" t="n">
        <v>183913</v>
      </c>
      <c r="E283" t="n">
        <v>3718826</v>
      </c>
      <c r="F283" t="n">
        <v>20.22057168335028</v>
      </c>
      <c r="G283" t="n">
        <v>66.8448649887127</v>
      </c>
    </row>
    <row r="284">
      <c r="A284" t="inlineStr">
        <is>
          <t>鉄骨造</t>
        </is>
      </c>
      <c r="B284" t="inlineStr">
        <is>
          <t>店舗</t>
        </is>
      </c>
      <c r="C284" t="inlineStr">
        <is>
          <t>令和6年3月分</t>
        </is>
      </c>
      <c r="D284" t="n">
        <v>251143</v>
      </c>
      <c r="E284" t="n">
        <v>5111682</v>
      </c>
      <c r="F284" t="n">
        <v>20.35367101611433</v>
      </c>
      <c r="G284" t="n">
        <v>67.28486278244601</v>
      </c>
    </row>
    <row r="285">
      <c r="A285" t="inlineStr">
        <is>
          <t>鉄骨造</t>
        </is>
      </c>
      <c r="B285" t="inlineStr">
        <is>
          <t>店舗</t>
        </is>
      </c>
      <c r="C285" t="inlineStr">
        <is>
          <t>令和6年4月分</t>
        </is>
      </c>
      <c r="D285" t="n">
        <v>508490</v>
      </c>
      <c r="E285" t="n">
        <v>14852741</v>
      </c>
      <c r="F285" t="n">
        <v>29.20950461169345</v>
      </c>
      <c r="G285" t="n">
        <v>96.56034570790757</v>
      </c>
    </row>
    <row r="286">
      <c r="A286" t="inlineStr">
        <is>
          <t>鉄骨造</t>
        </is>
      </c>
      <c r="B286" t="inlineStr">
        <is>
          <t>店舗</t>
        </is>
      </c>
      <c r="C286" t="inlineStr">
        <is>
          <t>令和6年5月分</t>
        </is>
      </c>
      <c r="D286" t="n">
        <v>254162</v>
      </c>
      <c r="E286" t="n">
        <v>5601602</v>
      </c>
      <c r="F286" t="n">
        <v>22.03949449563664</v>
      </c>
      <c r="G286" t="n">
        <v>72.85783295599751</v>
      </c>
    </row>
    <row r="287">
      <c r="A287" t="inlineStr">
        <is>
          <t>鉄骨造</t>
        </is>
      </c>
      <c r="B287" t="inlineStr">
        <is>
          <t>店舗</t>
        </is>
      </c>
      <c r="C287" t="inlineStr">
        <is>
          <t>令和6年6月分</t>
        </is>
      </c>
      <c r="D287" t="n">
        <v>258448</v>
      </c>
      <c r="E287" t="n">
        <v>5469074</v>
      </c>
      <c r="F287" t="n">
        <v>21.16121618275243</v>
      </c>
      <c r="G287" t="n">
        <v>69.95443357804618</v>
      </c>
    </row>
    <row r="288">
      <c r="A288" t="inlineStr">
        <is>
          <t>鉄骨造</t>
        </is>
      </c>
      <c r="B288" t="inlineStr">
        <is>
          <t>店舗</t>
        </is>
      </c>
      <c r="C288" t="inlineStr">
        <is>
          <t>令和6年7月分</t>
        </is>
      </c>
      <c r="D288" t="n">
        <v>305800</v>
      </c>
      <c r="E288" t="n">
        <v>5297357</v>
      </c>
      <c r="F288" t="n">
        <v>17.32294637017658</v>
      </c>
      <c r="G288" t="n">
        <v>57.26593834508776</v>
      </c>
    </row>
    <row r="289">
      <c r="A289" t="inlineStr">
        <is>
          <t>鉄骨造</t>
        </is>
      </c>
      <c r="B289" t="inlineStr">
        <is>
          <t>店舗</t>
        </is>
      </c>
      <c r="C289" t="inlineStr">
        <is>
          <t>令和6年8月分</t>
        </is>
      </c>
      <c r="D289" t="n">
        <v>331828</v>
      </c>
      <c r="E289" t="n">
        <v>7277925</v>
      </c>
      <c r="F289" t="n">
        <v>21.93282363151994</v>
      </c>
      <c r="G289" t="n">
        <v>72.50520200066299</v>
      </c>
    </row>
    <row r="290">
      <c r="A290" t="inlineStr">
        <is>
          <t>鉄骨造</t>
        </is>
      </c>
      <c r="B290" t="inlineStr">
        <is>
          <t>店舗</t>
        </is>
      </c>
      <c r="C290" t="inlineStr">
        <is>
          <t>令和6年9月分</t>
        </is>
      </c>
      <c r="D290" t="n">
        <v>251692</v>
      </c>
      <c r="E290" t="n">
        <v>5649538</v>
      </c>
      <c r="F290" t="n">
        <v>22.44623587559398</v>
      </c>
      <c r="G290" t="n">
        <v>74.20243255754875</v>
      </c>
    </row>
    <row r="291">
      <c r="A291" t="inlineStr">
        <is>
          <t>鉄骨造</t>
        </is>
      </c>
      <c r="B291" t="inlineStr">
        <is>
          <t>店舗</t>
        </is>
      </c>
      <c r="C291" t="inlineStr">
        <is>
          <t>令和6年10月分</t>
        </is>
      </c>
      <c r="D291" t="n">
        <v>210277</v>
      </c>
      <c r="E291" t="n">
        <v>5070897</v>
      </c>
      <c r="F291" t="n">
        <v>24.11531931690104</v>
      </c>
      <c r="G291" t="n">
        <v>79.72006376186002</v>
      </c>
    </row>
    <row r="292">
      <c r="A292" t="inlineStr">
        <is>
          <t>鉄骨造</t>
        </is>
      </c>
      <c r="B292" t="inlineStr">
        <is>
          <t>店舗</t>
        </is>
      </c>
      <c r="C292" t="inlineStr">
        <is>
          <t>令和6年11月分</t>
        </is>
      </c>
      <c r="D292" t="n">
        <v>232139</v>
      </c>
      <c r="E292" t="n">
        <v>5033326</v>
      </c>
      <c r="F292" t="n">
        <v>21.68237995338999</v>
      </c>
      <c r="G292" t="n">
        <v>71.67728901610293</v>
      </c>
    </row>
    <row r="293">
      <c r="A293" t="inlineStr">
        <is>
          <t>鉄骨造</t>
        </is>
      </c>
      <c r="B293" t="inlineStr">
        <is>
          <t>店舗</t>
        </is>
      </c>
      <c r="C293" t="inlineStr">
        <is>
          <t>令和6年12月分</t>
        </is>
      </c>
      <c r="D293" t="n">
        <v>288301</v>
      </c>
      <c r="E293" t="n">
        <v>5920779</v>
      </c>
      <c r="F293" t="n">
        <v>20.53679661187439</v>
      </c>
      <c r="G293" t="n">
        <v>67.89023665200078</v>
      </c>
    </row>
    <row r="294">
      <c r="A294" t="inlineStr">
        <is>
          <t>鉄骨造</t>
        </is>
      </c>
      <c r="B294" t="inlineStr">
        <is>
          <t>店舗</t>
        </is>
      </c>
      <c r="C294" t="inlineStr">
        <is>
          <t>令和7年1月分</t>
        </is>
      </c>
      <c r="D294" t="n">
        <v>268000</v>
      </c>
      <c r="E294" t="n">
        <v>7319344.12228</v>
      </c>
      <c r="F294" t="n">
        <v>27.31098553089552</v>
      </c>
      <c r="G294" t="n">
        <v>90.28424958056971</v>
      </c>
    </row>
    <row r="295">
      <c r="A295" t="inlineStr">
        <is>
          <t>鉄骨造</t>
        </is>
      </c>
      <c r="B295" t="inlineStr">
        <is>
          <t>店舗</t>
        </is>
      </c>
      <c r="C295" t="inlineStr">
        <is>
          <t>令和7年2月分</t>
        </is>
      </c>
      <c r="D295" t="n">
        <v>182826</v>
      </c>
      <c r="E295" t="n">
        <v>4543917.76333</v>
      </c>
      <c r="F295" t="n">
        <v>24.85378317815847</v>
      </c>
      <c r="G295" t="n">
        <v>82.16126660606257</v>
      </c>
    </row>
    <row r="296">
      <c r="A296" t="inlineStr">
        <is>
          <t>鉄骨造</t>
        </is>
      </c>
      <c r="B296" t="inlineStr">
        <is>
          <t>店舗</t>
        </is>
      </c>
      <c r="C296" t="inlineStr">
        <is>
          <t>令和7年3月分</t>
        </is>
      </c>
      <c r="D296" t="n">
        <v>315483</v>
      </c>
      <c r="E296" t="n">
        <v>10934837.75184</v>
      </c>
      <c r="F296" t="n">
        <v>34.66062435009176</v>
      </c>
      <c r="G296" t="n">
        <v>114.580576226443</v>
      </c>
    </row>
    <row r="297">
      <c r="A297" t="inlineStr">
        <is>
          <t>鉄骨造</t>
        </is>
      </c>
      <c r="B297" t="inlineStr">
        <is>
          <t>店舗</t>
        </is>
      </c>
      <c r="C297" t="inlineStr">
        <is>
          <t>令和7年4月分</t>
        </is>
      </c>
      <c r="D297" t="n">
        <v>360430</v>
      </c>
      <c r="E297" t="n">
        <v>12264372.42963</v>
      </c>
      <c r="F297" t="n">
        <v>34.02705776331049</v>
      </c>
      <c r="G297" t="n">
        <v>112.4861412313323</v>
      </c>
    </row>
    <row r="298">
      <c r="A298" t="inlineStr">
        <is>
          <t>鉄骨造</t>
        </is>
      </c>
      <c r="B298" t="inlineStr">
        <is>
          <t>店舗</t>
        </is>
      </c>
      <c r="C298" t="inlineStr">
        <is>
          <t>令和7年5月分</t>
        </is>
      </c>
      <c r="D298" t="n">
        <v>351659</v>
      </c>
      <c r="E298" t="n">
        <v>7324507.68982</v>
      </c>
      <c r="F298" t="n">
        <v>20.82843803178648</v>
      </c>
      <c r="G298" t="n">
        <v>68.85434051832182</v>
      </c>
    </row>
    <row r="299">
      <c r="A299" t="inlineStr">
        <is>
          <t>鉄骨造</t>
        </is>
      </c>
      <c r="B299" t="inlineStr">
        <is>
          <t>店舗</t>
        </is>
      </c>
      <c r="C299" t="inlineStr">
        <is>
          <t>令和7年6月分</t>
        </is>
      </c>
      <c r="F299" t="e">
        <v>#DIV/0!</v>
      </c>
      <c r="G299" t="e">
        <v>#DIV/0!</v>
      </c>
    </row>
    <row r="300">
      <c r="A300" t="inlineStr">
        <is>
          <t>鉄骨造</t>
        </is>
      </c>
      <c r="B300" t="inlineStr">
        <is>
          <t>店舗</t>
        </is>
      </c>
      <c r="C300" t="inlineStr">
        <is>
          <t>令和7年7月分</t>
        </is>
      </c>
      <c r="F300" t="e">
        <v>#DIV/0!</v>
      </c>
      <c r="G300" t="e">
        <v>#DIV/0!</v>
      </c>
    </row>
    <row r="301">
      <c r="A301" t="inlineStr">
        <is>
          <t>鉄骨造</t>
        </is>
      </c>
      <c r="B301" t="inlineStr">
        <is>
          <t>店舗</t>
        </is>
      </c>
      <c r="C301" t="inlineStr">
        <is>
          <t>令和7年8月分</t>
        </is>
      </c>
      <c r="F301" t="e">
        <v>#DIV/0!</v>
      </c>
      <c r="G301" t="e">
        <v>#DIV/0!</v>
      </c>
    </row>
    <row r="302">
      <c r="A302" t="inlineStr">
        <is>
          <t>鉄骨造</t>
        </is>
      </c>
      <c r="B302" t="inlineStr">
        <is>
          <t>工場及び作業場</t>
        </is>
      </c>
      <c r="C302" t="inlineStr">
        <is>
          <t>2015（基準）</t>
        </is>
      </c>
      <c r="D302" t="n">
        <v>8378701</v>
      </c>
      <c r="E302" t="n">
        <v>151709668</v>
      </c>
      <c r="F302" t="n">
        <v>18.10658573447125</v>
      </c>
      <c r="G302" t="n">
        <v>59.85648169501933</v>
      </c>
    </row>
    <row r="303">
      <c r="A303" t="inlineStr">
        <is>
          <t>鉄骨造</t>
        </is>
      </c>
      <c r="B303" t="inlineStr">
        <is>
          <t>工場及び作業場</t>
        </is>
      </c>
      <c r="C303" t="inlineStr">
        <is>
          <t>令和4年1月分</t>
        </is>
      </c>
      <c r="D303" t="n">
        <v>461179</v>
      </c>
      <c r="E303" t="n">
        <v>11699628</v>
      </c>
      <c r="F303" t="n">
        <v>25.36895218559388</v>
      </c>
      <c r="G303" t="n">
        <v>83.86430464512773</v>
      </c>
    </row>
    <row r="304">
      <c r="A304" t="inlineStr">
        <is>
          <t>鉄骨造</t>
        </is>
      </c>
      <c r="B304" t="inlineStr">
        <is>
          <t>工場及び作業場</t>
        </is>
      </c>
      <c r="C304" t="inlineStr">
        <is>
          <t>令和4年2月分</t>
        </is>
      </c>
      <c r="D304" t="n">
        <v>576152</v>
      </c>
      <c r="E304" t="n">
        <v>14477709</v>
      </c>
      <c r="F304" t="n">
        <v>25.12828038434302</v>
      </c>
      <c r="G304" t="n">
        <v>83.06869538574904</v>
      </c>
    </row>
    <row r="305">
      <c r="A305" t="inlineStr">
        <is>
          <t>鉄骨造</t>
        </is>
      </c>
      <c r="B305" t="inlineStr">
        <is>
          <t>工場及び作業場</t>
        </is>
      </c>
      <c r="C305" t="inlineStr">
        <is>
          <t>令和4年3月分</t>
        </is>
      </c>
      <c r="D305" t="n">
        <v>634383</v>
      </c>
      <c r="E305" t="n">
        <v>13578836</v>
      </c>
      <c r="F305" t="n">
        <v>21.40479174252778</v>
      </c>
      <c r="G305" t="n">
        <v>70.7596420391472</v>
      </c>
    </row>
    <row r="306">
      <c r="A306" t="inlineStr">
        <is>
          <t>鉄骨造</t>
        </is>
      </c>
      <c r="B306" t="inlineStr">
        <is>
          <t>工場及び作業場</t>
        </is>
      </c>
      <c r="C306" t="inlineStr">
        <is>
          <t>令和4年4月分</t>
        </is>
      </c>
      <c r="D306" t="n">
        <v>929291</v>
      </c>
      <c r="E306" t="n">
        <v>25142992</v>
      </c>
      <c r="F306" t="n">
        <v>27.0561019099507</v>
      </c>
      <c r="G306" t="n">
        <v>89.44165909911862</v>
      </c>
    </row>
    <row r="307">
      <c r="A307" t="inlineStr">
        <is>
          <t>鉄骨造</t>
        </is>
      </c>
      <c r="B307" t="inlineStr">
        <is>
          <t>工場及び作業場</t>
        </is>
      </c>
      <c r="C307" t="inlineStr">
        <is>
          <t>令和4年5月分</t>
        </is>
      </c>
      <c r="D307" t="n">
        <v>624765</v>
      </c>
      <c r="E307" t="n">
        <v>12090194</v>
      </c>
      <c r="F307" t="n">
        <v>19.35158659656031</v>
      </c>
      <c r="G307" t="n">
        <v>63.9721870193005</v>
      </c>
    </row>
    <row r="308">
      <c r="A308" t="inlineStr">
        <is>
          <t>鉄骨造</t>
        </is>
      </c>
      <c r="B308" t="inlineStr">
        <is>
          <t>工場及び作業場</t>
        </is>
      </c>
      <c r="C308" t="inlineStr">
        <is>
          <t>令和4年6月分</t>
        </is>
      </c>
      <c r="D308" t="n">
        <v>896466</v>
      </c>
      <c r="E308" t="n">
        <v>21601128</v>
      </c>
      <c r="F308" t="n">
        <v>24.09586978201069</v>
      </c>
      <c r="G308" t="n">
        <v>79.65576777882859</v>
      </c>
    </row>
    <row r="309">
      <c r="A309" t="inlineStr">
        <is>
          <t>鉄骨造</t>
        </is>
      </c>
      <c r="B309" t="inlineStr">
        <is>
          <t>工場及び作業場</t>
        </is>
      </c>
      <c r="C309" t="inlineStr">
        <is>
          <t>令和4年7月分</t>
        </is>
      </c>
      <c r="D309" t="n">
        <v>674375</v>
      </c>
      <c r="E309" t="n">
        <v>12666144</v>
      </c>
      <c r="F309" t="n">
        <v>18.78204856348471</v>
      </c>
      <c r="G309" t="n">
        <v>62.08941666428512</v>
      </c>
    </row>
    <row r="310">
      <c r="A310" t="inlineStr">
        <is>
          <t>鉄骨造</t>
        </is>
      </c>
      <c r="B310" t="inlineStr">
        <is>
          <t>工場及び作業場</t>
        </is>
      </c>
      <c r="C310" t="inlineStr">
        <is>
          <t>令和4年8月分</t>
        </is>
      </c>
      <c r="D310" t="n">
        <v>693613</v>
      </c>
      <c r="E310" t="n">
        <v>18737249</v>
      </c>
      <c r="F310" t="n">
        <v>27.01398186020158</v>
      </c>
      <c r="G310" t="n">
        <v>89.30241926540431</v>
      </c>
    </row>
    <row r="311">
      <c r="A311" t="inlineStr">
        <is>
          <t>鉄骨造</t>
        </is>
      </c>
      <c r="B311" t="inlineStr">
        <is>
          <t>工場及び作業場</t>
        </is>
      </c>
      <c r="C311" t="inlineStr">
        <is>
          <t>令和4年9月分</t>
        </is>
      </c>
      <c r="D311" t="n">
        <v>543075</v>
      </c>
      <c r="E311" t="n">
        <v>15759087</v>
      </c>
      <c r="F311" t="n">
        <v>29.01825162270405</v>
      </c>
      <c r="G311" t="n">
        <v>95.92810442275089</v>
      </c>
    </row>
    <row r="312">
      <c r="A312" t="inlineStr">
        <is>
          <t>鉄骨造</t>
        </is>
      </c>
      <c r="B312" t="inlineStr">
        <is>
          <t>工場及び作業場</t>
        </is>
      </c>
      <c r="C312" t="inlineStr">
        <is>
          <t>令和4年10月分</t>
        </is>
      </c>
      <c r="D312" t="n">
        <v>705775</v>
      </c>
      <c r="E312" t="n">
        <v>19656272</v>
      </c>
      <c r="F312" t="n">
        <v>27.8506209486026</v>
      </c>
      <c r="G312" t="n">
        <v>92.06816831465076</v>
      </c>
    </row>
    <row r="313">
      <c r="A313" t="inlineStr">
        <is>
          <t>鉄骨造</t>
        </is>
      </c>
      <c r="B313" t="inlineStr">
        <is>
          <t>工場及び作業場</t>
        </is>
      </c>
      <c r="C313" t="inlineStr">
        <is>
          <t>令和4年11月分</t>
        </is>
      </c>
      <c r="D313" t="n">
        <v>575926</v>
      </c>
      <c r="E313" t="n">
        <v>14206123</v>
      </c>
      <c r="F313" t="n">
        <v>24.66657695606727</v>
      </c>
      <c r="G313" t="n">
        <v>81.54240306270209</v>
      </c>
    </row>
    <row r="314">
      <c r="A314" t="inlineStr">
        <is>
          <t>鉄骨造</t>
        </is>
      </c>
      <c r="B314" t="inlineStr">
        <is>
          <t>工場及び作業場</t>
        </is>
      </c>
      <c r="C314" t="inlineStr">
        <is>
          <t>令和4年12月分</t>
        </is>
      </c>
      <c r="D314" t="n">
        <v>663086</v>
      </c>
      <c r="E314" t="n">
        <v>18570676</v>
      </c>
      <c r="F314" t="n">
        <v>28.00643657082188</v>
      </c>
      <c r="G314" t="n">
        <v>92.5832612800468</v>
      </c>
    </row>
    <row r="315">
      <c r="A315" t="inlineStr">
        <is>
          <t>鉄骨造</t>
        </is>
      </c>
      <c r="B315" t="inlineStr">
        <is>
          <t>工場及び作業場</t>
        </is>
      </c>
      <c r="C315" t="inlineStr">
        <is>
          <t>令和5年1月分</t>
        </is>
      </c>
      <c r="D315" t="n">
        <v>518150</v>
      </c>
      <c r="E315" t="n">
        <v>13016740</v>
      </c>
      <c r="F315" t="n">
        <v>25.12156711377014</v>
      </c>
      <c r="G315" t="n">
        <v>83.04650275578268</v>
      </c>
    </row>
    <row r="316">
      <c r="A316" t="inlineStr">
        <is>
          <t>鉄骨造</t>
        </is>
      </c>
      <c r="B316" t="inlineStr">
        <is>
          <t>工場及び作業場</t>
        </is>
      </c>
      <c r="C316" t="inlineStr">
        <is>
          <t>令和5年2月分</t>
        </is>
      </c>
      <c r="D316" t="n">
        <v>538992</v>
      </c>
      <c r="E316" t="n">
        <v>13018503</v>
      </c>
      <c r="F316" t="n">
        <v>24.15342528275002</v>
      </c>
      <c r="G316" t="n">
        <v>79.8460338967468</v>
      </c>
    </row>
    <row r="317">
      <c r="A317" t="inlineStr">
        <is>
          <t>鉄骨造</t>
        </is>
      </c>
      <c r="B317" t="inlineStr">
        <is>
          <t>工場及び作業場</t>
        </is>
      </c>
      <c r="C317" t="inlineStr">
        <is>
          <t>令和5年3月分</t>
        </is>
      </c>
      <c r="D317" t="n">
        <v>531918</v>
      </c>
      <c r="E317" t="n">
        <v>15139970</v>
      </c>
      <c r="F317" t="n">
        <v>28.46297737621212</v>
      </c>
      <c r="G317" t="n">
        <v>94.09248708117867</v>
      </c>
    </row>
    <row r="318">
      <c r="A318" t="inlineStr">
        <is>
          <t>鉄骨造</t>
        </is>
      </c>
      <c r="B318" t="inlineStr">
        <is>
          <t>工場及び作業場</t>
        </is>
      </c>
      <c r="C318" t="inlineStr">
        <is>
          <t>令和5年4月分</t>
        </is>
      </c>
      <c r="D318" t="n">
        <v>869886</v>
      </c>
      <c r="E318" t="n">
        <v>25825737</v>
      </c>
      <c r="F318" t="n">
        <v>29.68864540870873</v>
      </c>
      <c r="G318" t="n">
        <v>98.14428222506562</v>
      </c>
    </row>
    <row r="319">
      <c r="A319" t="inlineStr">
        <is>
          <t>鉄骨造</t>
        </is>
      </c>
      <c r="B319" t="inlineStr">
        <is>
          <t>工場及び作業場</t>
        </is>
      </c>
      <c r="C319" t="inlineStr">
        <is>
          <t>令和5年5月分</t>
        </is>
      </c>
      <c r="D319" t="n">
        <v>435893</v>
      </c>
      <c r="E319" t="n">
        <v>11764341</v>
      </c>
      <c r="F319" t="n">
        <v>26.98905694746188</v>
      </c>
      <c r="G319" t="n">
        <v>89.22002285975209</v>
      </c>
    </row>
    <row r="320">
      <c r="A320" t="inlineStr">
        <is>
          <t>鉄骨造</t>
        </is>
      </c>
      <c r="B320" t="inlineStr">
        <is>
          <t>工場及び作業場</t>
        </is>
      </c>
      <c r="C320" t="inlineStr">
        <is>
          <t>令和5年6月分</t>
        </is>
      </c>
      <c r="D320" t="n">
        <v>527697</v>
      </c>
      <c r="E320" t="n">
        <v>18187780</v>
      </c>
      <c r="F320" t="n">
        <v>34.46633200491949</v>
      </c>
      <c r="G320" t="n">
        <v>113.9382874828426</v>
      </c>
    </row>
    <row r="321">
      <c r="A321" t="inlineStr">
        <is>
          <t>鉄骨造</t>
        </is>
      </c>
      <c r="B321" t="inlineStr">
        <is>
          <t>工場及び作業場</t>
        </is>
      </c>
      <c r="C321" t="inlineStr">
        <is>
          <t>令和5年7月分</t>
        </is>
      </c>
      <c r="D321" t="n">
        <v>509297</v>
      </c>
      <c r="E321" t="n">
        <v>15393273</v>
      </c>
      <c r="F321" t="n">
        <v>30.22455070420599</v>
      </c>
      <c r="G321" t="n">
        <v>99.91586997664969</v>
      </c>
    </row>
    <row r="322">
      <c r="A322" t="inlineStr">
        <is>
          <t>鉄骨造</t>
        </is>
      </c>
      <c r="B322" t="inlineStr">
        <is>
          <t>工場及び作業場</t>
        </is>
      </c>
      <c r="C322" t="inlineStr">
        <is>
          <t>令和5年8月分</t>
        </is>
      </c>
      <c r="D322" t="n">
        <v>361341</v>
      </c>
      <c r="E322" t="n">
        <v>9577597</v>
      </c>
      <c r="F322" t="n">
        <v>26.50570236978367</v>
      </c>
      <c r="G322" t="n">
        <v>87.62215648917957</v>
      </c>
    </row>
    <row r="323">
      <c r="A323" t="inlineStr">
        <is>
          <t>鉄骨造</t>
        </is>
      </c>
      <c r="B323" t="inlineStr">
        <is>
          <t>工場及び作業場</t>
        </is>
      </c>
      <c r="C323" t="inlineStr">
        <is>
          <t>令和5年9月分</t>
        </is>
      </c>
      <c r="D323" t="n">
        <v>769521</v>
      </c>
      <c r="E323" t="n">
        <v>36413143</v>
      </c>
      <c r="F323" t="n">
        <v>47.31923235363298</v>
      </c>
      <c r="G323" t="n">
        <v>156.4272142044625</v>
      </c>
    </row>
    <row r="324">
      <c r="A324" t="inlineStr">
        <is>
          <t>鉄骨造</t>
        </is>
      </c>
      <c r="B324" t="inlineStr">
        <is>
          <t>工場及び作業場</t>
        </is>
      </c>
      <c r="C324" t="inlineStr">
        <is>
          <t>令和5年10月分</t>
        </is>
      </c>
      <c r="D324" t="n">
        <v>522592</v>
      </c>
      <c r="E324" t="n">
        <v>20713834</v>
      </c>
      <c r="F324" t="n">
        <v>39.636722337885</v>
      </c>
      <c r="G324" t="n">
        <v>131.0304869101519</v>
      </c>
    </row>
    <row r="325">
      <c r="A325" t="inlineStr">
        <is>
          <t>鉄骨造</t>
        </is>
      </c>
      <c r="B325" t="inlineStr">
        <is>
          <t>工場及び作業場</t>
        </is>
      </c>
      <c r="C325" t="inlineStr">
        <is>
          <t>令和5年11月分</t>
        </is>
      </c>
      <c r="D325" t="n">
        <v>629812</v>
      </c>
      <c r="E325" t="n">
        <v>24095807</v>
      </c>
      <c r="F325" t="n">
        <v>38.25872958914724</v>
      </c>
      <c r="G325" t="n">
        <v>126.4751389859066</v>
      </c>
    </row>
    <row r="326">
      <c r="A326" t="inlineStr">
        <is>
          <t>鉄骨造</t>
        </is>
      </c>
      <c r="B326" t="inlineStr">
        <is>
          <t>工場及び作業場</t>
        </is>
      </c>
      <c r="C326" t="inlineStr">
        <is>
          <t>令和5年12月分</t>
        </is>
      </c>
      <c r="D326" t="n">
        <v>530454</v>
      </c>
      <c r="E326" t="n">
        <v>15670166</v>
      </c>
      <c r="F326" t="n">
        <v>29.54104597194102</v>
      </c>
      <c r="G326" t="n">
        <v>97.65635020327855</v>
      </c>
    </row>
    <row r="327">
      <c r="A327" t="inlineStr">
        <is>
          <t>鉄骨造</t>
        </is>
      </c>
      <c r="B327" t="inlineStr">
        <is>
          <t>工場及び作業場</t>
        </is>
      </c>
      <c r="C327" t="inlineStr">
        <is>
          <t>令和6年1月分</t>
        </is>
      </c>
      <c r="D327" t="n">
        <v>704081</v>
      </c>
      <c r="E327" t="n">
        <v>25256331</v>
      </c>
      <c r="F327" t="n">
        <v>35.87134292787336</v>
      </c>
      <c r="G327" t="n">
        <v>118.582951685381</v>
      </c>
    </row>
    <row r="328">
      <c r="A328" t="inlineStr">
        <is>
          <t>鉄骨造</t>
        </is>
      </c>
      <c r="B328" t="inlineStr">
        <is>
          <t>工場及び作業場</t>
        </is>
      </c>
      <c r="C328" t="inlineStr">
        <is>
          <t>令和6年2月分</t>
        </is>
      </c>
      <c r="D328" t="n">
        <v>521230</v>
      </c>
      <c r="E328" t="n">
        <v>15818107</v>
      </c>
      <c r="F328" t="n">
        <v>30.34765266772826</v>
      </c>
      <c r="G328" t="n">
        <v>100.3228186159044</v>
      </c>
    </row>
    <row r="329">
      <c r="A329" t="inlineStr">
        <is>
          <t>鉄骨造</t>
        </is>
      </c>
      <c r="B329" t="inlineStr">
        <is>
          <t>工場及び作業場</t>
        </is>
      </c>
      <c r="C329" t="inlineStr">
        <is>
          <t>令和6年3月分</t>
        </is>
      </c>
      <c r="D329" t="n">
        <v>539736</v>
      </c>
      <c r="E329" t="n">
        <v>20160905</v>
      </c>
      <c r="F329" t="n">
        <v>37.35327085834556</v>
      </c>
      <c r="G329" t="n">
        <v>123.4818869868484</v>
      </c>
    </row>
    <row r="330">
      <c r="A330" t="inlineStr">
        <is>
          <t>鉄骨造</t>
        </is>
      </c>
      <c r="B330" t="inlineStr">
        <is>
          <t>工場及び作業場</t>
        </is>
      </c>
      <c r="C330" t="inlineStr">
        <is>
          <t>令和6年4月分</t>
        </is>
      </c>
      <c r="D330" t="n">
        <v>765476</v>
      </c>
      <c r="E330" t="n">
        <v>27470352</v>
      </c>
      <c r="F330" t="n">
        <v>35.88662740569266</v>
      </c>
      <c r="G330" t="n">
        <v>118.633478884723</v>
      </c>
    </row>
    <row r="331">
      <c r="A331" t="inlineStr">
        <is>
          <t>鉄骨造</t>
        </is>
      </c>
      <c r="B331" t="inlineStr">
        <is>
          <t>工場及び作業場</t>
        </is>
      </c>
      <c r="C331" t="inlineStr">
        <is>
          <t>令和6年5月分</t>
        </is>
      </c>
      <c r="D331" t="n">
        <v>461489</v>
      </c>
      <c r="E331" t="n">
        <v>15973688</v>
      </c>
      <c r="F331" t="n">
        <v>34.61336673246817</v>
      </c>
      <c r="G331" t="n">
        <v>114.4243526972963</v>
      </c>
    </row>
    <row r="332">
      <c r="A332" t="inlineStr">
        <is>
          <t>鉄骨造</t>
        </is>
      </c>
      <c r="B332" t="inlineStr">
        <is>
          <t>工場及び作業場</t>
        </is>
      </c>
      <c r="C332" t="inlineStr">
        <is>
          <t>令和6年6月分</t>
        </is>
      </c>
      <c r="D332" t="n">
        <v>541315</v>
      </c>
      <c r="E332" t="n">
        <v>16496767</v>
      </c>
      <c r="F332" t="n">
        <v>30.47535538457275</v>
      </c>
      <c r="G332" t="n">
        <v>100.7449763570325</v>
      </c>
    </row>
    <row r="333">
      <c r="A333" t="inlineStr">
        <is>
          <t>鉄骨造</t>
        </is>
      </c>
      <c r="B333" t="inlineStr">
        <is>
          <t>工場及び作業場</t>
        </is>
      </c>
      <c r="C333" t="inlineStr">
        <is>
          <t>令和6年7月分</t>
        </is>
      </c>
      <c r="D333" t="n">
        <v>515771</v>
      </c>
      <c r="E333" t="n">
        <v>15552540</v>
      </c>
      <c r="F333" t="n">
        <v>30.15396367767866</v>
      </c>
      <c r="G333" t="n">
        <v>99.68252443469059</v>
      </c>
    </row>
    <row r="334">
      <c r="A334" t="inlineStr">
        <is>
          <t>鉄骨造</t>
        </is>
      </c>
      <c r="B334" t="inlineStr">
        <is>
          <t>工場及び作業場</t>
        </is>
      </c>
      <c r="C334" t="inlineStr">
        <is>
          <t>令和6年8月分</t>
        </is>
      </c>
      <c r="D334" t="n">
        <v>664134</v>
      </c>
      <c r="E334" t="n">
        <v>28924634</v>
      </c>
      <c r="F334" t="n">
        <v>43.55240659264546</v>
      </c>
      <c r="G334" t="n">
        <v>143.9748976541573</v>
      </c>
    </row>
    <row r="335">
      <c r="A335" t="inlineStr">
        <is>
          <t>鉄骨造</t>
        </is>
      </c>
      <c r="B335" t="inlineStr">
        <is>
          <t>工場及び作業場</t>
        </is>
      </c>
      <c r="C335" t="inlineStr">
        <is>
          <t>令和6年9月分</t>
        </is>
      </c>
      <c r="D335" t="n">
        <v>588359</v>
      </c>
      <c r="E335" t="n">
        <v>19307098</v>
      </c>
      <c r="F335" t="n">
        <v>32.81516557068048</v>
      </c>
      <c r="G335" t="n">
        <v>108.4798860538918</v>
      </c>
    </row>
    <row r="336">
      <c r="A336" t="inlineStr">
        <is>
          <t>鉄骨造</t>
        </is>
      </c>
      <c r="B336" t="inlineStr">
        <is>
          <t>工場及び作業場</t>
        </is>
      </c>
      <c r="C336" t="inlineStr">
        <is>
          <t>令和6年10月分</t>
        </is>
      </c>
      <c r="D336" t="n">
        <v>584507</v>
      </c>
      <c r="E336" t="n">
        <v>24734102</v>
      </c>
      <c r="F336" t="n">
        <v>42.31617756502489</v>
      </c>
      <c r="G336" t="n">
        <v>139.8881901297371</v>
      </c>
    </row>
    <row r="337">
      <c r="A337" t="inlineStr">
        <is>
          <t>鉄骨造</t>
        </is>
      </c>
      <c r="B337" t="inlineStr">
        <is>
          <t>工場及び作業場</t>
        </is>
      </c>
      <c r="C337" t="inlineStr">
        <is>
          <t>令和6年11月分</t>
        </is>
      </c>
      <c r="D337" t="n">
        <v>458530</v>
      </c>
      <c r="E337" t="n">
        <v>13199930</v>
      </c>
      <c r="F337" t="n">
        <v>28.78749482040434</v>
      </c>
      <c r="G337" t="n">
        <v>95.16527201936972</v>
      </c>
    </row>
    <row r="338">
      <c r="A338" t="inlineStr">
        <is>
          <t>鉄骨造</t>
        </is>
      </c>
      <c r="B338" t="inlineStr">
        <is>
          <t>工場及び作業場</t>
        </is>
      </c>
      <c r="C338" t="inlineStr">
        <is>
          <t>令和6年12月分</t>
        </is>
      </c>
      <c r="D338" t="n">
        <v>498123</v>
      </c>
      <c r="E338" t="n">
        <v>16397926</v>
      </c>
      <c r="F338" t="n">
        <v>32.91943154602377</v>
      </c>
      <c r="G338" t="n">
        <v>108.824566963704</v>
      </c>
    </row>
    <row r="339">
      <c r="A339" t="inlineStr">
        <is>
          <t>鉄骨造</t>
        </is>
      </c>
      <c r="B339" t="inlineStr">
        <is>
          <t>工場及び作業場</t>
        </is>
      </c>
      <c r="C339" t="inlineStr">
        <is>
          <t>令和7年1月分</t>
        </is>
      </c>
      <c r="D339" t="n">
        <v>361898</v>
      </c>
      <c r="E339" t="n">
        <v>14097828.59613</v>
      </c>
      <c r="F339" t="n">
        <v>38.9552542322146</v>
      </c>
      <c r="G339" t="n">
        <v>128.777699786672</v>
      </c>
    </row>
    <row r="340">
      <c r="A340" t="inlineStr">
        <is>
          <t>鉄骨造</t>
        </is>
      </c>
      <c r="B340" t="inlineStr">
        <is>
          <t>工場及び作業場</t>
        </is>
      </c>
      <c r="C340" t="inlineStr">
        <is>
          <t>令和7年2月分</t>
        </is>
      </c>
      <c r="D340" t="n">
        <v>448540</v>
      </c>
      <c r="E340" t="n">
        <v>20530172.24364</v>
      </c>
      <c r="F340" t="n">
        <v>45.77110679903687</v>
      </c>
      <c r="G340" t="n">
        <v>151.3094437821869</v>
      </c>
    </row>
    <row r="341">
      <c r="A341" t="inlineStr">
        <is>
          <t>鉄骨造</t>
        </is>
      </c>
      <c r="B341" t="inlineStr">
        <is>
          <t>工場及び作業場</t>
        </is>
      </c>
      <c r="C341" t="inlineStr">
        <is>
          <t>令和7年3月分</t>
        </is>
      </c>
      <c r="D341" t="n">
        <v>407575</v>
      </c>
      <c r="E341" t="n">
        <v>14030443.00471</v>
      </c>
      <c r="F341" t="n">
        <v>34.42419923869227</v>
      </c>
      <c r="G341" t="n">
        <v>113.7990056111842</v>
      </c>
    </row>
    <row r="342">
      <c r="A342" t="inlineStr">
        <is>
          <t>鉄骨造</t>
        </is>
      </c>
      <c r="B342" t="inlineStr">
        <is>
          <t>工場及び作業場</t>
        </is>
      </c>
      <c r="C342" t="inlineStr">
        <is>
          <t>令和7年4月分</t>
        </is>
      </c>
      <c r="D342" t="n">
        <v>619321</v>
      </c>
      <c r="E342" t="n">
        <v>21840277.45798</v>
      </c>
      <c r="F342" t="n">
        <v>35.2648746901526</v>
      </c>
      <c r="G342" t="n">
        <v>116.5780980093711</v>
      </c>
    </row>
    <row r="343">
      <c r="A343" t="inlineStr">
        <is>
          <t>鉄骨造</t>
        </is>
      </c>
      <c r="B343" t="inlineStr">
        <is>
          <t>工場及び作業場</t>
        </is>
      </c>
      <c r="C343" t="inlineStr">
        <is>
          <t>令和7年5月分</t>
        </is>
      </c>
      <c r="D343" t="n">
        <v>595452</v>
      </c>
      <c r="E343" t="n">
        <v>26572300.91447</v>
      </c>
      <c r="F343" t="n">
        <v>44.62542894216494</v>
      </c>
      <c r="G343" t="n">
        <v>147.5220789706262</v>
      </c>
    </row>
    <row r="344">
      <c r="A344" t="inlineStr">
        <is>
          <t>鉄骨造</t>
        </is>
      </c>
      <c r="B344" t="inlineStr">
        <is>
          <t>工場及び作業場</t>
        </is>
      </c>
      <c r="C344" t="inlineStr">
        <is>
          <t>令和7年6月分</t>
        </is>
      </c>
      <c r="F344" t="e">
        <v>#DIV/0!</v>
      </c>
      <c r="G344" t="e">
        <v>#DIV/0!</v>
      </c>
    </row>
    <row r="345">
      <c r="A345" t="inlineStr">
        <is>
          <t>鉄骨造</t>
        </is>
      </c>
      <c r="B345" t="inlineStr">
        <is>
          <t>工場及び作業場</t>
        </is>
      </c>
      <c r="C345" t="inlineStr">
        <is>
          <t>令和7年7月分</t>
        </is>
      </c>
      <c r="F345" t="e">
        <v>#DIV/0!</v>
      </c>
      <c r="G345" t="e">
        <v>#DIV/0!</v>
      </c>
    </row>
    <row r="346">
      <c r="A346" t="inlineStr">
        <is>
          <t>鉄骨造</t>
        </is>
      </c>
      <c r="B346" t="inlineStr">
        <is>
          <t>工場及び作業場</t>
        </is>
      </c>
      <c r="C346" t="inlineStr">
        <is>
          <t>令和7年8月分</t>
        </is>
      </c>
      <c r="F346" t="e">
        <v>#DIV/0!</v>
      </c>
      <c r="G346" t="e">
        <v>#DIV/0!</v>
      </c>
    </row>
    <row r="347">
      <c r="A347" t="inlineStr">
        <is>
          <t>鉄骨造</t>
        </is>
      </c>
      <c r="B347" t="inlineStr">
        <is>
          <t>倉庫</t>
        </is>
      </c>
      <c r="C347" t="inlineStr">
        <is>
          <t>2015（基準）</t>
        </is>
      </c>
      <c r="D347" t="n">
        <v>6068912</v>
      </c>
      <c r="E347" t="n">
        <v>71338916</v>
      </c>
      <c r="F347" t="n">
        <v>11.75481140606422</v>
      </c>
      <c r="G347" t="n">
        <v>38.85888063457337</v>
      </c>
    </row>
    <row r="348">
      <c r="A348" t="inlineStr">
        <is>
          <t>鉄骨造</t>
        </is>
      </c>
      <c r="B348" t="inlineStr">
        <is>
          <t>倉庫</t>
        </is>
      </c>
      <c r="C348" t="inlineStr">
        <is>
          <t>令和4年1月分</t>
        </is>
      </c>
      <c r="D348" t="n">
        <v>835125</v>
      </c>
      <c r="E348" t="n">
        <v>10518520</v>
      </c>
      <c r="F348" t="n">
        <v>12.59514443945517</v>
      </c>
      <c r="G348" t="n">
        <v>41.63684107220165</v>
      </c>
    </row>
    <row r="349">
      <c r="A349" t="inlineStr">
        <is>
          <t>鉄骨造</t>
        </is>
      </c>
      <c r="B349" t="inlineStr">
        <is>
          <t>倉庫</t>
        </is>
      </c>
      <c r="C349" t="inlineStr">
        <is>
          <t>令和4年2月分</t>
        </is>
      </c>
      <c r="D349" t="n">
        <v>775039</v>
      </c>
      <c r="E349" t="n">
        <v>10489793</v>
      </c>
      <c r="F349" t="n">
        <v>13.53453568143022</v>
      </c>
      <c r="G349" t="n">
        <v>44.74226666178109</v>
      </c>
    </row>
    <row r="350">
      <c r="A350" t="inlineStr">
        <is>
          <t>鉄骨造</t>
        </is>
      </c>
      <c r="B350" t="inlineStr">
        <is>
          <t>倉庫</t>
        </is>
      </c>
      <c r="C350" t="inlineStr">
        <is>
          <t>令和4年3月分</t>
        </is>
      </c>
      <c r="D350" t="n">
        <v>912194</v>
      </c>
      <c r="E350" t="n">
        <v>11744726</v>
      </c>
      <c r="F350" t="n">
        <v>12.87525022089599</v>
      </c>
      <c r="G350" t="n">
        <v>42.56281059651469</v>
      </c>
    </row>
    <row r="351">
      <c r="A351" t="inlineStr">
        <is>
          <t>鉄骨造</t>
        </is>
      </c>
      <c r="B351" t="inlineStr">
        <is>
          <t>倉庫</t>
        </is>
      </c>
      <c r="C351" t="inlineStr">
        <is>
          <t>令和4年4月分</t>
        </is>
      </c>
      <c r="D351" t="n">
        <v>881069</v>
      </c>
      <c r="E351" t="n">
        <v>11962789</v>
      </c>
      <c r="F351" t="n">
        <v>13.57758472945933</v>
      </c>
      <c r="G351" t="n">
        <v>44.88457756418587</v>
      </c>
    </row>
    <row r="352">
      <c r="A352" t="inlineStr">
        <is>
          <t>鉄骨造</t>
        </is>
      </c>
      <c r="B352" t="inlineStr">
        <is>
          <t>倉庫</t>
        </is>
      </c>
      <c r="C352" t="inlineStr">
        <is>
          <t>令和4年5月分</t>
        </is>
      </c>
      <c r="D352" t="n">
        <v>852317</v>
      </c>
      <c r="E352" t="n">
        <v>11001456</v>
      </c>
      <c r="F352" t="n">
        <v>12.90770452777546</v>
      </c>
      <c r="G352" t="n">
        <v>42.67009756127676</v>
      </c>
    </row>
    <row r="353">
      <c r="A353" t="inlineStr">
        <is>
          <t>鉄骨造</t>
        </is>
      </c>
      <c r="B353" t="inlineStr">
        <is>
          <t>倉庫</t>
        </is>
      </c>
      <c r="C353" t="inlineStr">
        <is>
          <t>令和4年6月分</t>
        </is>
      </c>
      <c r="D353" t="n">
        <v>963165</v>
      </c>
      <c r="E353" t="n">
        <v>13762764</v>
      </c>
      <c r="F353" t="n">
        <v>14.28910311317376</v>
      </c>
      <c r="G353" t="n">
        <v>47.23670444967548</v>
      </c>
    </row>
    <row r="354">
      <c r="A354" t="inlineStr">
        <is>
          <t>鉄骨造</t>
        </is>
      </c>
      <c r="B354" t="inlineStr">
        <is>
          <t>倉庫</t>
        </is>
      </c>
      <c r="C354" t="inlineStr">
        <is>
          <t>令和4年7月分</t>
        </is>
      </c>
      <c r="D354" t="n">
        <v>931010</v>
      </c>
      <c r="E354" t="n">
        <v>14396013</v>
      </c>
      <c r="F354" t="n">
        <v>15.46279094746566</v>
      </c>
      <c r="G354" t="n">
        <v>51.11666422780267</v>
      </c>
    </row>
    <row r="355">
      <c r="A355" t="inlineStr">
        <is>
          <t>鉄骨造</t>
        </is>
      </c>
      <c r="B355" t="inlineStr">
        <is>
          <t>倉庫</t>
        </is>
      </c>
      <c r="C355" t="inlineStr">
        <is>
          <t>令和4年8月分</t>
        </is>
      </c>
      <c r="D355" t="n">
        <v>660707</v>
      </c>
      <c r="E355" t="n">
        <v>9569279</v>
      </c>
      <c r="F355" t="n">
        <v>14.48339278984482</v>
      </c>
      <c r="G355" t="n">
        <v>47.87898437178428</v>
      </c>
    </row>
    <row r="356">
      <c r="A356" t="inlineStr">
        <is>
          <t>鉄骨造</t>
        </is>
      </c>
      <c r="B356" t="inlineStr">
        <is>
          <t>倉庫</t>
        </is>
      </c>
      <c r="C356" t="inlineStr">
        <is>
          <t>令和4年9月分</t>
        </is>
      </c>
      <c r="D356" t="n">
        <v>572632</v>
      </c>
      <c r="E356" t="n">
        <v>8144155</v>
      </c>
      <c r="F356" t="n">
        <v>14.22231904608894</v>
      </c>
      <c r="G356" t="n">
        <v>47.0159306744534</v>
      </c>
    </row>
    <row r="357">
      <c r="A357" t="inlineStr">
        <is>
          <t>鉄骨造</t>
        </is>
      </c>
      <c r="B357" t="inlineStr">
        <is>
          <t>倉庫</t>
        </is>
      </c>
      <c r="C357" t="inlineStr">
        <is>
          <t>令和4年10月分</t>
        </is>
      </c>
      <c r="D357" t="n">
        <v>462154</v>
      </c>
      <c r="E357" t="n">
        <v>7709515</v>
      </c>
      <c r="F357" t="n">
        <v>16.68170133764935</v>
      </c>
      <c r="G357" t="n">
        <v>55.14612005828533</v>
      </c>
    </row>
    <row r="358">
      <c r="A358" t="inlineStr">
        <is>
          <t>鉄骨造</t>
        </is>
      </c>
      <c r="B358" t="inlineStr">
        <is>
          <t>倉庫</t>
        </is>
      </c>
      <c r="C358" t="inlineStr">
        <is>
          <t>令和4年11月分</t>
        </is>
      </c>
      <c r="D358" t="n">
        <v>600119</v>
      </c>
      <c r="E358" t="n">
        <v>8565731</v>
      </c>
      <c r="F358" t="n">
        <v>14.27338744482344</v>
      </c>
      <c r="G358" t="n">
        <v>47.18475182709216</v>
      </c>
    </row>
    <row r="359">
      <c r="A359" t="inlineStr">
        <is>
          <t>鉄骨造</t>
        </is>
      </c>
      <c r="B359" t="inlineStr">
        <is>
          <t>倉庫</t>
        </is>
      </c>
      <c r="C359" t="inlineStr">
        <is>
          <t>令和4年12月分</t>
        </is>
      </c>
      <c r="D359" t="n">
        <v>672464</v>
      </c>
      <c r="E359" t="n">
        <v>9951811</v>
      </c>
      <c r="F359" t="n">
        <v>14.79902418568131</v>
      </c>
      <c r="G359" t="n">
        <v>48.92239394354541</v>
      </c>
    </row>
    <row r="360">
      <c r="A360" t="inlineStr">
        <is>
          <t>鉄骨造</t>
        </is>
      </c>
      <c r="B360" t="inlineStr">
        <is>
          <t>倉庫</t>
        </is>
      </c>
      <c r="C360" t="inlineStr">
        <is>
          <t>令和5年1月分</t>
        </is>
      </c>
      <c r="D360" t="n">
        <v>674938</v>
      </c>
      <c r="E360" t="n">
        <v>10530530</v>
      </c>
      <c r="F360" t="n">
        <v>15.602218277827</v>
      </c>
      <c r="G360" t="n">
        <v>51.57758102183252</v>
      </c>
    </row>
    <row r="361">
      <c r="A361" t="inlineStr">
        <is>
          <t>鉄骨造</t>
        </is>
      </c>
      <c r="B361" t="inlineStr">
        <is>
          <t>倉庫</t>
        </is>
      </c>
      <c r="C361" t="inlineStr">
        <is>
          <t>令和5年2月分</t>
        </is>
      </c>
      <c r="D361" t="n">
        <v>900471</v>
      </c>
      <c r="E361" t="n">
        <v>12993465</v>
      </c>
      <c r="F361" t="n">
        <v>14.42963182601105</v>
      </c>
      <c r="G361" t="n">
        <v>47.70126217750577</v>
      </c>
    </row>
    <row r="362">
      <c r="A362" t="inlineStr">
        <is>
          <t>鉄骨造</t>
        </is>
      </c>
      <c r="B362" t="inlineStr">
        <is>
          <t>倉庫</t>
        </is>
      </c>
      <c r="C362" t="inlineStr">
        <is>
          <t>令和5年3月分</t>
        </is>
      </c>
      <c r="D362" t="n">
        <v>346787</v>
      </c>
      <c r="E362" t="n">
        <v>5546101</v>
      </c>
      <c r="F362" t="n">
        <v>15.99281691643574</v>
      </c>
      <c r="G362" t="n">
        <v>52.86881618923754</v>
      </c>
    </row>
    <row r="363">
      <c r="A363" t="inlineStr">
        <is>
          <t>鉄骨造</t>
        </is>
      </c>
      <c r="B363" t="inlineStr">
        <is>
          <t>倉庫</t>
        </is>
      </c>
      <c r="C363" t="inlineStr">
        <is>
          <t>令和5年4月分</t>
        </is>
      </c>
      <c r="D363" t="n">
        <v>1025089</v>
      </c>
      <c r="E363" t="n">
        <v>14773342</v>
      </c>
      <c r="F363" t="n">
        <v>14.41176522233679</v>
      </c>
      <c r="G363" t="n">
        <v>47.64219902493446</v>
      </c>
    </row>
    <row r="364">
      <c r="A364" t="inlineStr">
        <is>
          <t>鉄骨造</t>
        </is>
      </c>
      <c r="B364" t="inlineStr">
        <is>
          <t>倉庫</t>
        </is>
      </c>
      <c r="C364" t="inlineStr">
        <is>
          <t>令和5年5月分</t>
        </is>
      </c>
      <c r="D364" t="n">
        <v>564527</v>
      </c>
      <c r="E364" t="n">
        <v>8541089</v>
      </c>
      <c r="F364" t="n">
        <v>15.1296377321191</v>
      </c>
      <c r="G364" t="n">
        <v>50.01533128582987</v>
      </c>
    </row>
    <row r="365">
      <c r="A365" t="inlineStr">
        <is>
          <t>鉄骨造</t>
        </is>
      </c>
      <c r="B365" t="inlineStr">
        <is>
          <t>倉庫</t>
        </is>
      </c>
      <c r="C365" t="inlineStr">
        <is>
          <t>令和5年6月分</t>
        </is>
      </c>
      <c r="D365" t="n">
        <v>498046</v>
      </c>
      <c r="E365" t="n">
        <v>8652166</v>
      </c>
      <c r="F365" t="n">
        <v>17.37222264610096</v>
      </c>
      <c r="G365" t="n">
        <v>57.42883512480758</v>
      </c>
    </row>
    <row r="366">
      <c r="A366" t="inlineStr">
        <is>
          <t>鉄骨造</t>
        </is>
      </c>
      <c r="B366" t="inlineStr">
        <is>
          <t>倉庫</t>
        </is>
      </c>
      <c r="C366" t="inlineStr">
        <is>
          <t>令和5年7月分</t>
        </is>
      </c>
      <c r="D366" t="n">
        <v>489596</v>
      </c>
      <c r="E366" t="n">
        <v>7565679</v>
      </c>
      <c r="F366" t="n">
        <v>15.45290198449334</v>
      </c>
      <c r="G366" t="n">
        <v>51.08397344115654</v>
      </c>
    </row>
    <row r="367">
      <c r="A367" t="inlineStr">
        <is>
          <t>鉄骨造</t>
        </is>
      </c>
      <c r="B367" t="inlineStr">
        <is>
          <t>倉庫</t>
        </is>
      </c>
      <c r="C367" t="inlineStr">
        <is>
          <t>令和5年8月分</t>
        </is>
      </c>
      <c r="D367" t="n">
        <v>674749</v>
      </c>
      <c r="E367" t="n">
        <v>11295329</v>
      </c>
      <c r="F367" t="n">
        <v>16.74004555768145</v>
      </c>
      <c r="G367" t="n">
        <v>55.33899351270543</v>
      </c>
    </row>
    <row r="368">
      <c r="A368" t="inlineStr">
        <is>
          <t>鉄骨造</t>
        </is>
      </c>
      <c r="B368" t="inlineStr">
        <is>
          <t>倉庫</t>
        </is>
      </c>
      <c r="C368" t="inlineStr">
        <is>
          <t>令和5年9月分</t>
        </is>
      </c>
      <c r="D368" t="n">
        <v>566910</v>
      </c>
      <c r="E368" t="n">
        <v>10583923</v>
      </c>
      <c r="F368" t="n">
        <v>18.66949427598737</v>
      </c>
      <c r="G368" t="n">
        <v>61.71733637548422</v>
      </c>
    </row>
    <row r="369">
      <c r="A369" t="inlineStr">
        <is>
          <t>鉄骨造</t>
        </is>
      </c>
      <c r="B369" t="inlineStr">
        <is>
          <t>倉庫</t>
        </is>
      </c>
      <c r="C369" t="inlineStr">
        <is>
          <t>令和5年10月分</t>
        </is>
      </c>
      <c r="D369" t="n">
        <v>813132</v>
      </c>
      <c r="E369" t="n">
        <v>17541418</v>
      </c>
      <c r="F369" t="n">
        <v>21.57265732992921</v>
      </c>
      <c r="G369" t="n">
        <v>71.31456960013891</v>
      </c>
    </row>
    <row r="370">
      <c r="A370" t="inlineStr">
        <is>
          <t>鉄骨造</t>
        </is>
      </c>
      <c r="B370" t="inlineStr">
        <is>
          <t>倉庫</t>
        </is>
      </c>
      <c r="C370" t="inlineStr">
        <is>
          <t>令和5年11月分</t>
        </is>
      </c>
      <c r="D370" t="n">
        <v>431285</v>
      </c>
      <c r="E370" t="n">
        <v>7939075</v>
      </c>
      <c r="F370" t="n">
        <v>18.40795529638174</v>
      </c>
      <c r="G370" t="n">
        <v>60.85274470840395</v>
      </c>
    </row>
    <row r="371">
      <c r="A371" t="inlineStr">
        <is>
          <t>鉄骨造</t>
        </is>
      </c>
      <c r="B371" t="inlineStr">
        <is>
          <t>倉庫</t>
        </is>
      </c>
      <c r="C371" t="inlineStr">
        <is>
          <t>令和5年12月分</t>
        </is>
      </c>
      <c r="D371" t="n">
        <v>547167</v>
      </c>
      <c r="E371" t="n">
        <v>8335203</v>
      </c>
      <c r="F371" t="n">
        <v>15.23338030254017</v>
      </c>
      <c r="G371" t="n">
        <v>50.35828193143841</v>
      </c>
    </row>
    <row r="372">
      <c r="A372" t="inlineStr">
        <is>
          <t>鉄骨造</t>
        </is>
      </c>
      <c r="B372" t="inlineStr">
        <is>
          <t>倉庫</t>
        </is>
      </c>
      <c r="C372" t="inlineStr">
        <is>
          <t>令和6年1月分</t>
        </is>
      </c>
      <c r="D372" t="n">
        <v>471248</v>
      </c>
      <c r="E372" t="n">
        <v>7460266</v>
      </c>
      <c r="F372" t="n">
        <v>15.83087036974162</v>
      </c>
      <c r="G372" t="n">
        <v>52.33345570494075</v>
      </c>
    </row>
    <row r="373">
      <c r="A373" t="inlineStr">
        <is>
          <t>鉄骨造</t>
        </is>
      </c>
      <c r="B373" t="inlineStr">
        <is>
          <t>倉庫</t>
        </is>
      </c>
      <c r="C373" t="inlineStr">
        <is>
          <t>令和6年2月分</t>
        </is>
      </c>
      <c r="D373" t="n">
        <v>769671</v>
      </c>
      <c r="E373" t="n">
        <v>12584915</v>
      </c>
      <c r="F373" t="n">
        <v>16.35103180449828</v>
      </c>
      <c r="G373" t="n">
        <v>54.05299763595718</v>
      </c>
    </row>
    <row r="374">
      <c r="A374" t="inlineStr">
        <is>
          <t>鉄骨造</t>
        </is>
      </c>
      <c r="B374" t="inlineStr">
        <is>
          <t>倉庫</t>
        </is>
      </c>
      <c r="C374" t="inlineStr">
        <is>
          <t>令和6年3月分</t>
        </is>
      </c>
      <c r="D374" t="n">
        <v>535000</v>
      </c>
      <c r="E374" t="n">
        <v>9907385</v>
      </c>
      <c r="F374" t="n">
        <v>18.51847663551402</v>
      </c>
      <c r="G374" t="n">
        <v>61.21810450674991</v>
      </c>
    </row>
    <row r="375">
      <c r="A375" t="inlineStr">
        <is>
          <t>鉄骨造</t>
        </is>
      </c>
      <c r="B375" t="inlineStr">
        <is>
          <t>倉庫</t>
        </is>
      </c>
      <c r="C375" t="inlineStr">
        <is>
          <t>令和6年4月分</t>
        </is>
      </c>
      <c r="D375" t="n">
        <v>633476</v>
      </c>
      <c r="E375" t="n">
        <v>11687494</v>
      </c>
      <c r="F375" t="n">
        <v>18.4497818386174</v>
      </c>
      <c r="G375" t="n">
        <v>60.99101426934766</v>
      </c>
    </row>
    <row r="376">
      <c r="A376" t="inlineStr">
        <is>
          <t>鉄骨造</t>
        </is>
      </c>
      <c r="B376" t="inlineStr">
        <is>
          <t>倉庫</t>
        </is>
      </c>
      <c r="C376" t="inlineStr">
        <is>
          <t>令和6年5月分</t>
        </is>
      </c>
      <c r="D376" t="n">
        <v>534316</v>
      </c>
      <c r="E376" t="n">
        <v>8145786</v>
      </c>
      <c r="F376" t="n">
        <v>15.24525935962988</v>
      </c>
      <c r="G376" t="n">
        <v>50.39755154160519</v>
      </c>
    </row>
    <row r="377">
      <c r="A377" t="inlineStr">
        <is>
          <t>鉄骨造</t>
        </is>
      </c>
      <c r="B377" t="inlineStr">
        <is>
          <t>倉庫</t>
        </is>
      </c>
      <c r="C377" t="inlineStr">
        <is>
          <t>令和6年6月分</t>
        </is>
      </c>
      <c r="D377" t="n">
        <v>824075</v>
      </c>
      <c r="E377" t="n">
        <v>13859993</v>
      </c>
      <c r="F377" t="n">
        <v>16.8188490125292</v>
      </c>
      <c r="G377" t="n">
        <v>55.59950080114572</v>
      </c>
    </row>
    <row r="378">
      <c r="A378" t="inlineStr">
        <is>
          <t>鉄骨造</t>
        </is>
      </c>
      <c r="B378" t="inlineStr">
        <is>
          <t>倉庫</t>
        </is>
      </c>
      <c r="C378" t="inlineStr">
        <is>
          <t>令和6年7月分</t>
        </is>
      </c>
      <c r="D378" t="n">
        <v>533993</v>
      </c>
      <c r="E378" t="n">
        <v>9059516</v>
      </c>
      <c r="F378" t="n">
        <v>16.96560816340289</v>
      </c>
      <c r="G378" t="n">
        <v>56.0846550183278</v>
      </c>
    </row>
    <row r="379">
      <c r="A379" t="inlineStr">
        <is>
          <t>鉄骨造</t>
        </is>
      </c>
      <c r="B379" t="inlineStr">
        <is>
          <t>倉庫</t>
        </is>
      </c>
      <c r="C379" t="inlineStr">
        <is>
          <t>令和6年8月分</t>
        </is>
      </c>
      <c r="D379" t="n">
        <v>422016</v>
      </c>
      <c r="E379" t="n">
        <v>10597770</v>
      </c>
      <c r="F379" t="n">
        <v>25.11224692902639</v>
      </c>
      <c r="G379" t="n">
        <v>83.01569222774113</v>
      </c>
    </row>
    <row r="380">
      <c r="A380" t="inlineStr">
        <is>
          <t>鉄骨造</t>
        </is>
      </c>
      <c r="B380" t="inlineStr">
        <is>
          <t>倉庫</t>
        </is>
      </c>
      <c r="C380" t="inlineStr">
        <is>
          <t>令和6年9月分</t>
        </is>
      </c>
      <c r="D380" t="n">
        <v>918818</v>
      </c>
      <c r="E380" t="n">
        <v>16429638</v>
      </c>
      <c r="F380" t="n">
        <v>17.88127572598708</v>
      </c>
      <c r="G380" t="n">
        <v>59.1116552215853</v>
      </c>
    </row>
    <row r="381">
      <c r="A381" t="inlineStr">
        <is>
          <t>鉄骨造</t>
        </is>
      </c>
      <c r="B381" t="inlineStr">
        <is>
          <t>倉庫</t>
        </is>
      </c>
      <c r="C381" t="inlineStr">
        <is>
          <t>令和6年10月分</t>
        </is>
      </c>
      <c r="D381" t="n">
        <v>672820</v>
      </c>
      <c r="E381" t="n">
        <v>10715865</v>
      </c>
      <c r="F381" t="n">
        <v>15.9267931987753</v>
      </c>
      <c r="G381" t="n">
        <v>52.6505559658286</v>
      </c>
    </row>
    <row r="382">
      <c r="A382" t="inlineStr">
        <is>
          <t>鉄骨造</t>
        </is>
      </c>
      <c r="B382" t="inlineStr">
        <is>
          <t>倉庫</t>
        </is>
      </c>
      <c r="C382" t="inlineStr">
        <is>
          <t>令和6年11月分</t>
        </is>
      </c>
      <c r="D382" t="n">
        <v>859998</v>
      </c>
      <c r="E382" t="n">
        <v>17432970</v>
      </c>
      <c r="F382" t="n">
        <v>20.27094249056393</v>
      </c>
      <c r="G382" t="n">
        <v>67.01138005368199</v>
      </c>
    </row>
    <row r="383">
      <c r="A383" t="inlineStr">
        <is>
          <t>鉄骨造</t>
        </is>
      </c>
      <c r="B383" t="inlineStr">
        <is>
          <t>倉庫</t>
        </is>
      </c>
      <c r="C383" t="inlineStr">
        <is>
          <t>令和6年12月分</t>
        </is>
      </c>
      <c r="D383" t="n">
        <v>685091</v>
      </c>
      <c r="E383" t="n">
        <v>12932026</v>
      </c>
      <c r="F383" t="n">
        <v>18.87636241024915</v>
      </c>
      <c r="G383" t="n">
        <v>62.40119797552897</v>
      </c>
    </row>
    <row r="384">
      <c r="A384" t="inlineStr">
        <is>
          <t>鉄骨造</t>
        </is>
      </c>
      <c r="B384" t="inlineStr">
        <is>
          <t>倉庫</t>
        </is>
      </c>
      <c r="C384" t="inlineStr">
        <is>
          <t>令和7年1月分</t>
        </is>
      </c>
      <c r="D384" t="n">
        <v>637391</v>
      </c>
      <c r="E384" t="n">
        <v>14475454.82282</v>
      </c>
      <c r="F384" t="n">
        <v>22.7104788470813</v>
      </c>
      <c r="G384" t="n">
        <v>75.07596304075614</v>
      </c>
    </row>
    <row r="385">
      <c r="A385" t="inlineStr">
        <is>
          <t>鉄骨造</t>
        </is>
      </c>
      <c r="B385" t="inlineStr">
        <is>
          <t>倉庫</t>
        </is>
      </c>
      <c r="C385" t="inlineStr">
        <is>
          <t>令和7年2月分</t>
        </is>
      </c>
      <c r="D385" t="n">
        <v>846196</v>
      </c>
      <c r="E385" t="n">
        <v>17147340.94061</v>
      </c>
      <c r="F385" t="n">
        <v>20.26402977632841</v>
      </c>
      <c r="G385" t="n">
        <v>66.98852810582339</v>
      </c>
    </row>
    <row r="386">
      <c r="A386" t="inlineStr">
        <is>
          <t>鉄骨造</t>
        </is>
      </c>
      <c r="B386" t="inlineStr">
        <is>
          <t>倉庫</t>
        </is>
      </c>
      <c r="C386" t="inlineStr">
        <is>
          <t>令和7年3月分</t>
        </is>
      </c>
      <c r="D386" t="n">
        <v>450890</v>
      </c>
      <c r="E386" t="n">
        <v>8036493.10548</v>
      </c>
      <c r="F386" t="n">
        <v>17.82362240342434</v>
      </c>
      <c r="G386" t="n">
        <v>58.92106572573881</v>
      </c>
    </row>
    <row r="387">
      <c r="A387" t="inlineStr">
        <is>
          <t>鉄骨造</t>
        </is>
      </c>
      <c r="B387" t="inlineStr">
        <is>
          <t>倉庫</t>
        </is>
      </c>
      <c r="C387" t="inlineStr">
        <is>
          <t>令和7年4月分</t>
        </is>
      </c>
      <c r="D387" t="n">
        <v>462406</v>
      </c>
      <c r="E387" t="n">
        <v>9510154.606899999</v>
      </c>
      <c r="F387" t="n">
        <v>20.56667648538297</v>
      </c>
      <c r="G387" t="n">
        <v>67.98901309323293</v>
      </c>
    </row>
    <row r="388">
      <c r="A388" t="inlineStr">
        <is>
          <t>鉄骨造</t>
        </is>
      </c>
      <c r="B388" t="inlineStr">
        <is>
          <t>倉庫</t>
        </is>
      </c>
      <c r="C388" t="inlineStr">
        <is>
          <t>令和7年5月分</t>
        </is>
      </c>
      <c r="D388" t="n">
        <v>655850</v>
      </c>
      <c r="E388" t="n">
        <v>14292665.62327</v>
      </c>
      <c r="F388" t="n">
        <v>21.79258309563162</v>
      </c>
      <c r="G388" t="n">
        <v>72.04159692390255</v>
      </c>
    </row>
    <row r="389">
      <c r="A389" t="inlineStr">
        <is>
          <t>鉄骨造</t>
        </is>
      </c>
      <c r="B389" t="inlineStr">
        <is>
          <t>倉庫</t>
        </is>
      </c>
      <c r="C389" t="inlineStr">
        <is>
          <t>令和7年6月分</t>
        </is>
      </c>
      <c r="F389" t="e">
        <v>#DIV/0!</v>
      </c>
      <c r="G389" t="e">
        <v>#DIV/0!</v>
      </c>
    </row>
    <row r="390">
      <c r="A390" t="inlineStr">
        <is>
          <t>鉄骨造</t>
        </is>
      </c>
      <c r="B390" t="inlineStr">
        <is>
          <t>倉庫</t>
        </is>
      </c>
      <c r="C390" t="inlineStr">
        <is>
          <t>令和7年7月分</t>
        </is>
      </c>
      <c r="F390" t="e">
        <v>#DIV/0!</v>
      </c>
      <c r="G390" t="e">
        <v>#DIV/0!</v>
      </c>
    </row>
    <row r="391">
      <c r="A391" t="inlineStr">
        <is>
          <t>鉄骨造</t>
        </is>
      </c>
      <c r="B391" t="inlineStr">
        <is>
          <t>倉庫</t>
        </is>
      </c>
      <c r="C391" t="inlineStr">
        <is>
          <t>令和7年8月分</t>
        </is>
      </c>
      <c r="F391" t="e">
        <v>#DIV/0!</v>
      </c>
      <c r="G391" t="e">
        <v>#DIV/0!</v>
      </c>
    </row>
    <row r="392">
      <c r="A392" t="inlineStr">
        <is>
          <t>鉄骨造</t>
        </is>
      </c>
      <c r="B392" t="inlineStr">
        <is>
          <t>学校の校舎</t>
        </is>
      </c>
      <c r="C392" t="inlineStr">
        <is>
          <t>2015（基準）</t>
        </is>
      </c>
      <c r="D392" t="n">
        <v>1386294</v>
      </c>
      <c r="E392" t="n">
        <v>32660664</v>
      </c>
      <c r="F392" t="n">
        <v>23.55969512960454</v>
      </c>
      <c r="G392" t="n">
        <v>77.88328959118316</v>
      </c>
    </row>
    <row r="393">
      <c r="A393" t="inlineStr">
        <is>
          <t>鉄骨造</t>
        </is>
      </c>
      <c r="B393" t="inlineStr">
        <is>
          <t>学校の校舎</t>
        </is>
      </c>
      <c r="C393" t="inlineStr">
        <is>
          <t>令和4年1月分</t>
        </is>
      </c>
      <c r="D393" t="n">
        <v>41707</v>
      </c>
      <c r="E393" t="n">
        <v>1257098</v>
      </c>
      <c r="F393" t="n">
        <v>30.14117534226869</v>
      </c>
      <c r="G393" t="n">
        <v>99.64024894578273</v>
      </c>
    </row>
    <row r="394">
      <c r="A394" t="inlineStr">
        <is>
          <t>鉄骨造</t>
        </is>
      </c>
      <c r="B394" t="inlineStr">
        <is>
          <t>学校の校舎</t>
        </is>
      </c>
      <c r="C394" t="inlineStr">
        <is>
          <t>令和4年2月分</t>
        </is>
      </c>
      <c r="D394" t="n">
        <v>46099</v>
      </c>
      <c r="E394" t="n">
        <v>817146</v>
      </c>
      <c r="F394" t="n">
        <v>17.7258942710254</v>
      </c>
      <c r="G394" t="n">
        <v>58.59799751984902</v>
      </c>
    </row>
    <row r="395">
      <c r="A395" t="inlineStr">
        <is>
          <t>鉄骨造</t>
        </is>
      </c>
      <c r="B395" t="inlineStr">
        <is>
          <t>学校の校舎</t>
        </is>
      </c>
      <c r="C395" t="inlineStr">
        <is>
          <t>令和4年3月分</t>
        </is>
      </c>
      <c r="D395" t="n">
        <v>28892</v>
      </c>
      <c r="E395" t="n">
        <v>615910</v>
      </c>
      <c r="F395" t="n">
        <v>21.31766578983802</v>
      </c>
      <c r="G395" t="n">
        <v>70.47162236117956</v>
      </c>
    </row>
    <row r="396">
      <c r="A396" t="inlineStr">
        <is>
          <t>鉄骨造</t>
        </is>
      </c>
      <c r="B396" t="inlineStr">
        <is>
          <t>学校の校舎</t>
        </is>
      </c>
      <c r="C396" t="inlineStr">
        <is>
          <t>令和4年4月分</t>
        </is>
      </c>
      <c r="D396" t="n">
        <v>55420</v>
      </c>
      <c r="E396" t="n">
        <v>1672270</v>
      </c>
      <c r="F396" t="n">
        <v>30.17448574521833</v>
      </c>
      <c r="G396" t="n">
        <v>99.75036598019487</v>
      </c>
    </row>
    <row r="397">
      <c r="A397" t="inlineStr">
        <is>
          <t>鉄骨造</t>
        </is>
      </c>
      <c r="B397" t="inlineStr">
        <is>
          <t>学校の校舎</t>
        </is>
      </c>
      <c r="C397" t="inlineStr">
        <is>
          <t>令和4年5月分</t>
        </is>
      </c>
      <c r="D397" t="n">
        <v>101064</v>
      </c>
      <c r="E397" t="n">
        <v>3428795</v>
      </c>
      <c r="F397" t="n">
        <v>33.92696707037125</v>
      </c>
      <c r="G397" t="n">
        <v>112.1552629079633</v>
      </c>
    </row>
    <row r="398">
      <c r="A398" t="inlineStr">
        <is>
          <t>鉄骨造</t>
        </is>
      </c>
      <c r="B398" t="inlineStr">
        <is>
          <t>学校の校舎</t>
        </is>
      </c>
      <c r="C398" t="inlineStr">
        <is>
          <t>令和4年6月分</t>
        </is>
      </c>
      <c r="D398" t="n">
        <v>159002</v>
      </c>
      <c r="E398" t="n">
        <v>4075445</v>
      </c>
      <c r="F398" t="n">
        <v>25.63140715211129</v>
      </c>
      <c r="G398" t="n">
        <v>84.73192436811109</v>
      </c>
    </row>
    <row r="399">
      <c r="A399" t="inlineStr">
        <is>
          <t>鉄骨造</t>
        </is>
      </c>
      <c r="B399" t="inlineStr">
        <is>
          <t>学校の校舎</t>
        </is>
      </c>
      <c r="C399" t="inlineStr">
        <is>
          <t>令和4年7月分</t>
        </is>
      </c>
      <c r="D399" t="n">
        <v>104728</v>
      </c>
      <c r="E399" t="n">
        <v>2873377</v>
      </c>
      <c r="F399" t="n">
        <v>27.43656901688183</v>
      </c>
      <c r="G399" t="n">
        <v>90.69940159986096</v>
      </c>
    </row>
    <row r="400">
      <c r="A400" t="inlineStr">
        <is>
          <t>鉄骨造</t>
        </is>
      </c>
      <c r="B400" t="inlineStr">
        <is>
          <t>学校の校舎</t>
        </is>
      </c>
      <c r="C400" t="inlineStr">
        <is>
          <t>令和4年8月分</t>
        </is>
      </c>
      <c r="D400" t="n">
        <v>144121</v>
      </c>
      <c r="E400" t="n">
        <v>5453098</v>
      </c>
      <c r="F400" t="n">
        <v>37.83694256909125</v>
      </c>
      <c r="G400" t="n">
        <v>125.0808017311964</v>
      </c>
    </row>
    <row r="401">
      <c r="A401" t="inlineStr">
        <is>
          <t>鉄骨造</t>
        </is>
      </c>
      <c r="B401" t="inlineStr">
        <is>
          <t>学校の校舎</t>
        </is>
      </c>
      <c r="C401" t="inlineStr">
        <is>
          <t>令和4年9月分</t>
        </is>
      </c>
      <c r="D401" t="n">
        <v>72391</v>
      </c>
      <c r="E401" t="n">
        <v>1663524</v>
      </c>
      <c r="F401" t="n">
        <v>22.97970742219337</v>
      </c>
      <c r="G401" t="n">
        <v>75.96597485824039</v>
      </c>
    </row>
    <row r="402">
      <c r="A402" t="inlineStr">
        <is>
          <t>鉄骨造</t>
        </is>
      </c>
      <c r="B402" t="inlineStr">
        <is>
          <t>学校の校舎</t>
        </is>
      </c>
      <c r="C402" t="inlineStr">
        <is>
          <t>令和4年10月分</t>
        </is>
      </c>
      <c r="D402" t="n">
        <v>109123</v>
      </c>
      <c r="E402" t="n">
        <v>2766055</v>
      </c>
      <c r="F402" t="n">
        <v>25.34804761599296</v>
      </c>
      <c r="G402" t="n">
        <v>83.795198630001</v>
      </c>
    </row>
    <row r="403">
      <c r="A403" t="inlineStr">
        <is>
          <t>鉄骨造</t>
        </is>
      </c>
      <c r="B403" t="inlineStr">
        <is>
          <t>学校の校舎</t>
        </is>
      </c>
      <c r="C403" t="inlineStr">
        <is>
          <t>令和4年11月分</t>
        </is>
      </c>
      <c r="D403" t="n">
        <v>202225</v>
      </c>
      <c r="E403" t="n">
        <v>6923977</v>
      </c>
      <c r="F403" t="n">
        <v>34.23897638768698</v>
      </c>
      <c r="G403" t="n">
        <v>113.186698666447</v>
      </c>
    </row>
    <row r="404">
      <c r="A404" t="inlineStr">
        <is>
          <t>鉄骨造</t>
        </is>
      </c>
      <c r="B404" t="inlineStr">
        <is>
          <t>学校の校舎</t>
        </is>
      </c>
      <c r="C404" t="inlineStr">
        <is>
          <t>令和4年12月分</t>
        </is>
      </c>
      <c r="D404" t="n">
        <v>43313</v>
      </c>
      <c r="E404" t="n">
        <v>1096098</v>
      </c>
      <c r="F404" t="n">
        <v>25.30644379285665</v>
      </c>
      <c r="G404" t="n">
        <v>83.65766533054186</v>
      </c>
    </row>
    <row r="405">
      <c r="A405" t="inlineStr">
        <is>
          <t>鉄骨造</t>
        </is>
      </c>
      <c r="B405" t="inlineStr">
        <is>
          <t>学校の校舎</t>
        </is>
      </c>
      <c r="C405" t="inlineStr">
        <is>
          <t>令和5年1月分</t>
        </is>
      </c>
      <c r="D405" t="n">
        <v>39246</v>
      </c>
      <c r="E405" t="n">
        <v>944029</v>
      </c>
      <c r="F405" t="n">
        <v>24.05414564541609</v>
      </c>
      <c r="G405" t="n">
        <v>79.51783674892931</v>
      </c>
    </row>
    <row r="406">
      <c r="A406" t="inlineStr">
        <is>
          <t>鉄骨造</t>
        </is>
      </c>
      <c r="B406" t="inlineStr">
        <is>
          <t>学校の校舎</t>
        </is>
      </c>
      <c r="C406" t="inlineStr">
        <is>
          <t>令和5年2月分</t>
        </is>
      </c>
      <c r="D406" t="n">
        <v>59265</v>
      </c>
      <c r="E406" t="n">
        <v>1946253</v>
      </c>
      <c r="F406" t="n">
        <v>32.83983801569223</v>
      </c>
      <c r="G406" t="n">
        <v>108.5614478554857</v>
      </c>
    </row>
    <row r="407">
      <c r="A407" t="inlineStr">
        <is>
          <t>鉄骨造</t>
        </is>
      </c>
      <c r="B407" t="inlineStr">
        <is>
          <t>学校の校舎</t>
        </is>
      </c>
      <c r="C407" t="inlineStr">
        <is>
          <t>令和5年3月分</t>
        </is>
      </c>
      <c r="D407" t="n">
        <v>63893</v>
      </c>
      <c r="E407" t="n">
        <v>1200093</v>
      </c>
      <c r="F407" t="n">
        <v>18.78285571189332</v>
      </c>
      <c r="G407" t="n">
        <v>62.09208492348395</v>
      </c>
    </row>
    <row r="408">
      <c r="A408" t="inlineStr">
        <is>
          <t>鉄骨造</t>
        </is>
      </c>
      <c r="B408" t="inlineStr">
        <is>
          <t>学校の校舎</t>
        </is>
      </c>
      <c r="C408" t="inlineStr">
        <is>
          <t>令和5年4月分</t>
        </is>
      </c>
      <c r="D408" t="n">
        <v>113460</v>
      </c>
      <c r="E408" t="n">
        <v>2994431</v>
      </c>
      <c r="F408" t="n">
        <v>26.39195311122863</v>
      </c>
      <c r="G408" t="n">
        <v>87.2461258828373</v>
      </c>
    </row>
    <row r="409">
      <c r="A409" t="inlineStr">
        <is>
          <t>鉄骨造</t>
        </is>
      </c>
      <c r="B409" t="inlineStr">
        <is>
          <t>学校の校舎</t>
        </is>
      </c>
      <c r="C409" t="inlineStr">
        <is>
          <t>令和5年5月分</t>
        </is>
      </c>
      <c r="D409" t="n">
        <v>59127</v>
      </c>
      <c r="E409" t="n">
        <v>1557736</v>
      </c>
      <c r="F409" t="n">
        <v>26.34559507500803</v>
      </c>
      <c r="G409" t="n">
        <v>87.09287617650685</v>
      </c>
    </row>
    <row r="410">
      <c r="A410" t="inlineStr">
        <is>
          <t>鉄骨造</t>
        </is>
      </c>
      <c r="B410" t="inlineStr">
        <is>
          <t>学校の校舎</t>
        </is>
      </c>
      <c r="C410" t="inlineStr">
        <is>
          <t>令和5年6月分</t>
        </is>
      </c>
      <c r="D410" t="n">
        <v>74781</v>
      </c>
      <c r="E410" t="n">
        <v>2690113</v>
      </c>
      <c r="F410" t="n">
        <v>35.97321512148808</v>
      </c>
      <c r="G410" t="n">
        <v>118.9197192671743</v>
      </c>
    </row>
    <row r="411">
      <c r="A411" t="inlineStr">
        <is>
          <t>鉄骨造</t>
        </is>
      </c>
      <c r="B411" t="inlineStr">
        <is>
          <t>学校の校舎</t>
        </is>
      </c>
      <c r="C411" t="inlineStr">
        <is>
          <t>令和5年7月分</t>
        </is>
      </c>
      <c r="D411" t="n">
        <v>95736</v>
      </c>
      <c r="E411" t="n">
        <v>5035463</v>
      </c>
      <c r="F411" t="n">
        <v>52.59738238489179</v>
      </c>
      <c r="G411" t="n">
        <v>173.8756440389254</v>
      </c>
    </row>
    <row r="412">
      <c r="A412" t="inlineStr">
        <is>
          <t>鉄骨造</t>
        </is>
      </c>
      <c r="B412" t="inlineStr">
        <is>
          <t>学校の校舎</t>
        </is>
      </c>
      <c r="C412" t="inlineStr">
        <is>
          <t>令和5年8月分</t>
        </is>
      </c>
      <c r="D412" t="n">
        <v>42496</v>
      </c>
      <c r="E412" t="n">
        <v>1340424</v>
      </c>
      <c r="F412" t="n">
        <v>31.54235692771084</v>
      </c>
      <c r="G412" t="n">
        <v>104.2722541813554</v>
      </c>
    </row>
    <row r="413">
      <c r="A413" t="inlineStr">
        <is>
          <t>鉄骨造</t>
        </is>
      </c>
      <c r="B413" t="inlineStr">
        <is>
          <t>学校の校舎</t>
        </is>
      </c>
      <c r="C413" t="inlineStr">
        <is>
          <t>令和5年9月分</t>
        </is>
      </c>
      <c r="D413" t="n">
        <v>66248</v>
      </c>
      <c r="E413" t="n">
        <v>1746260</v>
      </c>
      <c r="F413" t="n">
        <v>26.35943726603067</v>
      </c>
      <c r="G413" t="n">
        <v>87.13863548561767</v>
      </c>
    </row>
    <row r="414">
      <c r="A414" t="inlineStr">
        <is>
          <t>鉄骨造</t>
        </is>
      </c>
      <c r="B414" t="inlineStr">
        <is>
          <t>学校の校舎</t>
        </is>
      </c>
      <c r="C414" t="inlineStr">
        <is>
          <t>令和5年10月分</t>
        </is>
      </c>
      <c r="D414" t="n">
        <v>93038</v>
      </c>
      <c r="E414" t="n">
        <v>2863704</v>
      </c>
      <c r="F414" t="n">
        <v>30.77993937960833</v>
      </c>
      <c r="G414" t="n">
        <v>101.7518655956112</v>
      </c>
    </row>
    <row r="415">
      <c r="A415" t="inlineStr">
        <is>
          <t>鉄骨造</t>
        </is>
      </c>
      <c r="B415" t="inlineStr">
        <is>
          <t>学校の校舎</t>
        </is>
      </c>
      <c r="C415" t="inlineStr">
        <is>
          <t>令和5年11月分</t>
        </is>
      </c>
      <c r="D415" t="n">
        <v>84806</v>
      </c>
      <c r="E415" t="n">
        <v>3555254</v>
      </c>
      <c r="F415" t="n">
        <v>41.92219890102115</v>
      </c>
      <c r="G415" t="n">
        <v>138.5857813246761</v>
      </c>
    </row>
    <row r="416">
      <c r="A416" t="inlineStr">
        <is>
          <t>鉄骨造</t>
        </is>
      </c>
      <c r="B416" t="inlineStr">
        <is>
          <t>学校の校舎</t>
        </is>
      </c>
      <c r="C416" t="inlineStr">
        <is>
          <t>令和5年12月分</t>
        </is>
      </c>
      <c r="D416" t="n">
        <v>27220</v>
      </c>
      <c r="E416" t="n">
        <v>791133</v>
      </c>
      <c r="F416" t="n">
        <v>29.06440117560617</v>
      </c>
      <c r="G416" t="n">
        <v>96.08066492802939</v>
      </c>
    </row>
    <row r="417">
      <c r="A417" t="inlineStr">
        <is>
          <t>鉄骨造</t>
        </is>
      </c>
      <c r="B417" t="inlineStr">
        <is>
          <t>学校の校舎</t>
        </is>
      </c>
      <c r="C417" t="inlineStr">
        <is>
          <t>令和6年1月分</t>
        </is>
      </c>
      <c r="D417" t="n">
        <v>67724</v>
      </c>
      <c r="E417" t="n">
        <v>2787558</v>
      </c>
      <c r="F417" t="n">
        <v>41.16056346346937</v>
      </c>
      <c r="G417" t="n">
        <v>136.0679782283527</v>
      </c>
    </row>
    <row r="418">
      <c r="A418" t="inlineStr">
        <is>
          <t>鉄骨造</t>
        </is>
      </c>
      <c r="B418" t="inlineStr">
        <is>
          <t>学校の校舎</t>
        </is>
      </c>
      <c r="C418" t="inlineStr">
        <is>
          <t>令和6年2月分</t>
        </is>
      </c>
      <c r="D418" t="n">
        <v>79088</v>
      </c>
      <c r="E418" t="n">
        <v>2635389</v>
      </c>
      <c r="F418" t="n">
        <v>33.3222359902893</v>
      </c>
      <c r="G418" t="n">
        <v>110.1561519018268</v>
      </c>
    </row>
    <row r="419">
      <c r="A419" t="inlineStr">
        <is>
          <t>鉄骨造</t>
        </is>
      </c>
      <c r="B419" t="inlineStr">
        <is>
          <t>学校の校舎</t>
        </is>
      </c>
      <c r="C419" t="inlineStr">
        <is>
          <t>令和6年3月分</t>
        </is>
      </c>
      <c r="D419" t="n">
        <v>59923</v>
      </c>
      <c r="E419" t="n">
        <v>1746024</v>
      </c>
      <c r="F419" t="n">
        <v>29.13779350166046</v>
      </c>
      <c r="G419" t="n">
        <v>96.32328418742186</v>
      </c>
    </row>
    <row r="420">
      <c r="A420" t="inlineStr">
        <is>
          <t>鉄骨造</t>
        </is>
      </c>
      <c r="B420" t="inlineStr">
        <is>
          <t>学校の校舎</t>
        </is>
      </c>
      <c r="C420" t="inlineStr">
        <is>
          <t>令和6年4月分</t>
        </is>
      </c>
      <c r="D420" t="n">
        <v>96462</v>
      </c>
      <c r="E420" t="n">
        <v>3082989</v>
      </c>
      <c r="F420" t="n">
        <v>31.96065808297568</v>
      </c>
      <c r="G420" t="n">
        <v>105.6550679161087</v>
      </c>
    </row>
    <row r="421">
      <c r="A421" t="inlineStr">
        <is>
          <t>鉄骨造</t>
        </is>
      </c>
      <c r="B421" t="inlineStr">
        <is>
          <t>学校の校舎</t>
        </is>
      </c>
      <c r="C421" t="inlineStr">
        <is>
          <t>令和6年5月分</t>
        </is>
      </c>
      <c r="D421" t="n">
        <v>41794</v>
      </c>
      <c r="E421" t="n">
        <v>1429051</v>
      </c>
      <c r="F421" t="n">
        <v>34.19273101402115</v>
      </c>
      <c r="G421" t="n">
        <v>113.0338213983136</v>
      </c>
    </row>
    <row r="422">
      <c r="A422" t="inlineStr">
        <is>
          <t>鉄骨造</t>
        </is>
      </c>
      <c r="B422" t="inlineStr">
        <is>
          <t>学校の校舎</t>
        </is>
      </c>
      <c r="C422" t="inlineStr">
        <is>
          <t>令和6年6月分</t>
        </is>
      </c>
      <c r="D422" t="n">
        <v>60645</v>
      </c>
      <c r="E422" t="n">
        <v>1714198</v>
      </c>
      <c r="F422" t="n">
        <v>28.26610602687773</v>
      </c>
      <c r="G422" t="n">
        <v>93.44167270399473</v>
      </c>
    </row>
    <row r="423">
      <c r="A423" t="inlineStr">
        <is>
          <t>鉄骨造</t>
        </is>
      </c>
      <c r="B423" t="inlineStr">
        <is>
          <t>学校の校舎</t>
        </is>
      </c>
      <c r="C423" t="inlineStr">
        <is>
          <t>令和6年7月分</t>
        </is>
      </c>
      <c r="D423" t="n">
        <v>76047</v>
      </c>
      <c r="E423" t="n">
        <v>3006457</v>
      </c>
      <c r="F423" t="n">
        <v>39.53419595776296</v>
      </c>
      <c r="G423" t="n">
        <v>130.6915567283369</v>
      </c>
    </row>
    <row r="424">
      <c r="A424" t="inlineStr">
        <is>
          <t>鉄骨造</t>
        </is>
      </c>
      <c r="B424" t="inlineStr">
        <is>
          <t>学校の校舎</t>
        </is>
      </c>
      <c r="C424" t="inlineStr">
        <is>
          <t>令和6年8月分</t>
        </is>
      </c>
      <c r="D424" t="n">
        <v>38811</v>
      </c>
      <c r="E424" t="n">
        <v>1172992</v>
      </c>
      <c r="F424" t="n">
        <v>30.22318414882379</v>
      </c>
      <c r="G424" t="n">
        <v>99.91135243820153</v>
      </c>
    </row>
    <row r="425">
      <c r="A425" t="inlineStr">
        <is>
          <t>鉄骨造</t>
        </is>
      </c>
      <c r="B425" t="inlineStr">
        <is>
          <t>学校の校舎</t>
        </is>
      </c>
      <c r="C425" t="inlineStr">
        <is>
          <t>令和6年9月分</t>
        </is>
      </c>
      <c r="D425" t="n">
        <v>97907</v>
      </c>
      <c r="E425" t="n">
        <v>3537671</v>
      </c>
      <c r="F425" t="n">
        <v>36.13297312755983</v>
      </c>
      <c r="G425" t="n">
        <v>119.4478449064471</v>
      </c>
    </row>
    <row r="426">
      <c r="A426" t="inlineStr">
        <is>
          <t>鉄骨造</t>
        </is>
      </c>
      <c r="B426" t="inlineStr">
        <is>
          <t>学校の校舎</t>
        </is>
      </c>
      <c r="C426" t="inlineStr">
        <is>
          <t>令和6年10月分</t>
        </is>
      </c>
      <c r="D426" t="n">
        <v>127139</v>
      </c>
      <c r="E426" t="n">
        <v>6918704</v>
      </c>
      <c r="F426" t="n">
        <v>54.41842392971472</v>
      </c>
      <c r="G426" t="n">
        <v>179.8956160807028</v>
      </c>
    </row>
    <row r="427">
      <c r="A427" t="inlineStr">
        <is>
          <t>鉄骨造</t>
        </is>
      </c>
      <c r="B427" t="inlineStr">
        <is>
          <t>学校の校舎</t>
        </is>
      </c>
      <c r="C427" t="inlineStr">
        <is>
          <t>令和6年11月分</t>
        </is>
      </c>
      <c r="D427" t="n">
        <v>64270</v>
      </c>
      <c r="E427" t="n">
        <v>1724033</v>
      </c>
      <c r="F427" t="n">
        <v>26.8248482962502</v>
      </c>
      <c r="G427" t="n">
        <v>88.67718434400125</v>
      </c>
    </row>
    <row r="428">
      <c r="A428" t="inlineStr">
        <is>
          <t>鉄骨造</t>
        </is>
      </c>
      <c r="B428" t="inlineStr">
        <is>
          <t>学校の校舎</t>
        </is>
      </c>
      <c r="C428" t="inlineStr">
        <is>
          <t>令和6年12月分</t>
        </is>
      </c>
      <c r="D428" t="n">
        <v>97785</v>
      </c>
      <c r="E428" t="n">
        <v>2305605</v>
      </c>
      <c r="F428" t="n">
        <v>23.57830955668047</v>
      </c>
      <c r="G428" t="n">
        <v>77.94482488722811</v>
      </c>
    </row>
    <row r="429">
      <c r="A429" t="inlineStr">
        <is>
          <t>鉄骨造</t>
        </is>
      </c>
      <c r="B429" t="inlineStr">
        <is>
          <t>学校の校舎</t>
        </is>
      </c>
      <c r="C429" t="inlineStr">
        <is>
          <t>令和7年1月分</t>
        </is>
      </c>
      <c r="D429" t="n">
        <v>54215</v>
      </c>
      <c r="E429" t="n">
        <v>2414176.81682</v>
      </c>
      <c r="F429" t="n">
        <v>44.5296839771281</v>
      </c>
      <c r="G429" t="n">
        <v>147.2055666898925</v>
      </c>
    </row>
    <row r="430">
      <c r="A430" t="inlineStr">
        <is>
          <t>鉄骨造</t>
        </is>
      </c>
      <c r="B430" t="inlineStr">
        <is>
          <t>学校の校舎</t>
        </is>
      </c>
      <c r="C430" t="inlineStr">
        <is>
          <t>令和7年2月分</t>
        </is>
      </c>
      <c r="D430" t="n">
        <v>59521</v>
      </c>
      <c r="E430" t="n">
        <v>2046943.41553</v>
      </c>
      <c r="F430" t="n">
        <v>34.3902726017708</v>
      </c>
      <c r="G430" t="n">
        <v>113.6868514396776</v>
      </c>
    </row>
    <row r="431">
      <c r="A431" t="inlineStr">
        <is>
          <t>鉄骨造</t>
        </is>
      </c>
      <c r="B431" t="inlineStr">
        <is>
          <t>学校の校舎</t>
        </is>
      </c>
      <c r="C431" t="inlineStr">
        <is>
          <t>令和7年3月分</t>
        </is>
      </c>
      <c r="D431" t="n">
        <v>90752</v>
      </c>
      <c r="E431" t="n">
        <v>3601431.78766</v>
      </c>
      <c r="F431" t="n">
        <v>39.68432417643688</v>
      </c>
      <c r="G431" t="n">
        <v>131.1878483597213</v>
      </c>
    </row>
    <row r="432">
      <c r="A432" t="inlineStr">
        <is>
          <t>鉄骨造</t>
        </is>
      </c>
      <c r="B432" t="inlineStr">
        <is>
          <t>学校の校舎</t>
        </is>
      </c>
      <c r="C432" t="inlineStr">
        <is>
          <t>令和7年4月分</t>
        </is>
      </c>
      <c r="D432" t="n">
        <v>85456</v>
      </c>
      <c r="E432" t="n">
        <v>2622310.28367</v>
      </c>
      <c r="F432" t="n">
        <v>30.68608738614023</v>
      </c>
      <c r="G432" t="n">
        <v>101.4416110721221</v>
      </c>
    </row>
    <row r="433">
      <c r="A433" t="inlineStr">
        <is>
          <t>鉄骨造</t>
        </is>
      </c>
      <c r="B433" t="inlineStr">
        <is>
          <t>学校の校舎</t>
        </is>
      </c>
      <c r="C433" t="inlineStr">
        <is>
          <t>令和7年5月分</t>
        </is>
      </c>
      <c r="D433" t="n">
        <v>58555</v>
      </c>
      <c r="E433" t="n">
        <v>1998331.4924</v>
      </c>
      <c r="F433" t="n">
        <v>34.1274270753992</v>
      </c>
      <c r="G433" t="n">
        <v>112.8179406097398</v>
      </c>
    </row>
    <row r="434">
      <c r="A434" t="inlineStr">
        <is>
          <t>鉄骨造</t>
        </is>
      </c>
      <c r="B434" t="inlineStr">
        <is>
          <t>学校の校舎</t>
        </is>
      </c>
      <c r="C434" t="inlineStr">
        <is>
          <t>令和7年6月分</t>
        </is>
      </c>
      <c r="F434" t="e">
        <v>#DIV/0!</v>
      </c>
      <c r="G434" t="e">
        <v>#DIV/0!</v>
      </c>
    </row>
    <row r="435">
      <c r="A435" t="inlineStr">
        <is>
          <t>鉄骨造</t>
        </is>
      </c>
      <c r="B435" t="inlineStr">
        <is>
          <t>学校の校舎</t>
        </is>
      </c>
      <c r="C435" t="inlineStr">
        <is>
          <t>令和7年7月分</t>
        </is>
      </c>
      <c r="F435" t="e">
        <v>#DIV/0!</v>
      </c>
      <c r="G435" t="e">
        <v>#DIV/0!</v>
      </c>
    </row>
    <row r="436">
      <c r="A436" t="inlineStr">
        <is>
          <t>鉄骨造</t>
        </is>
      </c>
      <c r="B436" t="inlineStr">
        <is>
          <t>学校の校舎</t>
        </is>
      </c>
      <c r="C436" t="inlineStr">
        <is>
          <t>令和7年8月分</t>
        </is>
      </c>
      <c r="F436" t="e">
        <v>#DIV/0!</v>
      </c>
      <c r="G436" t="e">
        <v>#DIV/0!</v>
      </c>
    </row>
    <row r="437">
      <c r="A437" t="inlineStr">
        <is>
          <t>鉄骨造</t>
        </is>
      </c>
      <c r="B437" t="inlineStr">
        <is>
          <t>病院・診療所</t>
        </is>
      </c>
      <c r="C437" t="inlineStr">
        <is>
          <t>2015（基準）</t>
        </is>
      </c>
      <c r="D437" t="n">
        <v>1106860</v>
      </c>
      <c r="E437" t="n">
        <v>32198273</v>
      </c>
      <c r="F437" t="n">
        <v>29.08974305693584</v>
      </c>
      <c r="G437" t="n">
        <v>96.1644397422418</v>
      </c>
    </row>
    <row r="438">
      <c r="A438" t="inlineStr">
        <is>
          <t>鉄骨造</t>
        </is>
      </c>
      <c r="B438" t="inlineStr">
        <is>
          <t>病院・診療所</t>
        </is>
      </c>
      <c r="C438" t="inlineStr">
        <is>
          <t>令和4年1月分</t>
        </is>
      </c>
      <c r="D438" t="n">
        <v>57385</v>
      </c>
      <c r="E438" t="n">
        <v>1755028</v>
      </c>
      <c r="F438" t="n">
        <v>30.58339287270192</v>
      </c>
      <c r="G438" t="n">
        <v>101.1021250776921</v>
      </c>
    </row>
    <row r="439">
      <c r="A439" t="inlineStr">
        <is>
          <t>鉄骨造</t>
        </is>
      </c>
      <c r="B439" t="inlineStr">
        <is>
          <t>病院・診療所</t>
        </is>
      </c>
      <c r="C439" t="inlineStr">
        <is>
          <t>令和4年2月分</t>
        </is>
      </c>
      <c r="D439" t="n">
        <v>43562</v>
      </c>
      <c r="E439" t="n">
        <v>1402723</v>
      </c>
      <c r="F439" t="n">
        <v>32.2006106239383</v>
      </c>
      <c r="G439" t="n">
        <v>106.4482994555291</v>
      </c>
    </row>
    <row r="440">
      <c r="A440" t="inlineStr">
        <is>
          <t>鉄骨造</t>
        </is>
      </c>
      <c r="B440" t="inlineStr">
        <is>
          <t>病院・診療所</t>
        </is>
      </c>
      <c r="C440" t="inlineStr">
        <is>
          <t>令和4年3月分</t>
        </is>
      </c>
      <c r="D440" t="n">
        <v>82304</v>
      </c>
      <c r="E440" t="n">
        <v>2924934</v>
      </c>
      <c r="F440" t="n">
        <v>35.53817554432349</v>
      </c>
      <c r="G440" t="n">
        <v>117.4815719063725</v>
      </c>
    </row>
    <row r="441">
      <c r="A441" t="inlineStr">
        <is>
          <t>鉄骨造</t>
        </is>
      </c>
      <c r="B441" t="inlineStr">
        <is>
          <t>病院・診療所</t>
        </is>
      </c>
      <c r="C441" t="inlineStr">
        <is>
          <t>令和4年4月分</t>
        </is>
      </c>
      <c r="D441" t="n">
        <v>96019</v>
      </c>
      <c r="E441" t="n">
        <v>3707881</v>
      </c>
      <c r="F441" t="n">
        <v>38.61611764338308</v>
      </c>
      <c r="G441" t="n">
        <v>127.6565870976652</v>
      </c>
    </row>
    <row r="442">
      <c r="A442" t="inlineStr">
        <is>
          <t>鉄骨造</t>
        </is>
      </c>
      <c r="B442" t="inlineStr">
        <is>
          <t>病院・診療所</t>
        </is>
      </c>
      <c r="C442" t="inlineStr">
        <is>
          <t>令和4年5月分</t>
        </is>
      </c>
      <c r="D442" t="n">
        <v>43189</v>
      </c>
      <c r="E442" t="n">
        <v>1435762</v>
      </c>
      <c r="F442" t="n">
        <v>33.24369631156081</v>
      </c>
      <c r="G442" t="n">
        <v>109.8965166005566</v>
      </c>
    </row>
    <row r="443">
      <c r="A443" t="inlineStr">
        <is>
          <t>鉄骨造</t>
        </is>
      </c>
      <c r="B443" t="inlineStr">
        <is>
          <t>病院・診療所</t>
        </is>
      </c>
      <c r="C443" t="inlineStr">
        <is>
          <t>令和4年6月分</t>
        </is>
      </c>
      <c r="D443" t="n">
        <v>28557</v>
      </c>
      <c r="E443" t="n">
        <v>1059931</v>
      </c>
      <c r="F443" t="n">
        <v>37.11632874601674</v>
      </c>
      <c r="G443" t="n">
        <v>122.6986072776104</v>
      </c>
    </row>
    <row r="444">
      <c r="A444" t="inlineStr">
        <is>
          <t>鉄骨造</t>
        </is>
      </c>
      <c r="B444" t="inlineStr">
        <is>
          <t>病院・診療所</t>
        </is>
      </c>
      <c r="C444" t="inlineStr">
        <is>
          <t>令和4年7月分</t>
        </is>
      </c>
      <c r="D444" t="n">
        <v>56783</v>
      </c>
      <c r="E444" t="n">
        <v>2046138</v>
      </c>
      <c r="F444" t="n">
        <v>36.03434126411074</v>
      </c>
      <c r="G444" t="n">
        <v>119.1217891598993</v>
      </c>
    </row>
    <row r="445">
      <c r="A445" t="inlineStr">
        <is>
          <t>鉄骨造</t>
        </is>
      </c>
      <c r="B445" t="inlineStr">
        <is>
          <t>病院・診療所</t>
        </is>
      </c>
      <c r="C445" t="inlineStr">
        <is>
          <t>令和4年8月分</t>
        </is>
      </c>
      <c r="D445" t="n">
        <v>72247</v>
      </c>
      <c r="E445" t="n">
        <v>3036285</v>
      </c>
      <c r="F445" t="n">
        <v>42.02645092529794</v>
      </c>
      <c r="G445" t="n">
        <v>138.9304161152602</v>
      </c>
    </row>
    <row r="446">
      <c r="A446" t="inlineStr">
        <is>
          <t>鉄骨造</t>
        </is>
      </c>
      <c r="B446" t="inlineStr">
        <is>
          <t>病院・診療所</t>
        </is>
      </c>
      <c r="C446" t="inlineStr">
        <is>
          <t>令和4年9月分</t>
        </is>
      </c>
      <c r="D446" t="n">
        <v>50968</v>
      </c>
      <c r="E446" t="n">
        <v>1703512</v>
      </c>
      <c r="F446" t="n">
        <v>33.42316747763302</v>
      </c>
      <c r="G446" t="n">
        <v>110.4898097108272</v>
      </c>
    </row>
    <row r="447">
      <c r="A447" t="inlineStr">
        <is>
          <t>鉄骨造</t>
        </is>
      </c>
      <c r="B447" t="inlineStr">
        <is>
          <t>病院・診療所</t>
        </is>
      </c>
      <c r="C447" t="inlineStr">
        <is>
          <t>令和4年10月分</t>
        </is>
      </c>
      <c r="D447" t="n">
        <v>132415</v>
      </c>
      <c r="E447" t="n">
        <v>4726199</v>
      </c>
      <c r="F447" t="n">
        <v>35.69232337726088</v>
      </c>
      <c r="G447" t="n">
        <v>117.9911515187772</v>
      </c>
    </row>
    <row r="448">
      <c r="A448" t="inlineStr">
        <is>
          <t>鉄骨造</t>
        </is>
      </c>
      <c r="B448" t="inlineStr">
        <is>
          <t>病院・診療所</t>
        </is>
      </c>
      <c r="C448" t="inlineStr">
        <is>
          <t>令和4年11月分</t>
        </is>
      </c>
      <c r="D448" t="n">
        <v>58545</v>
      </c>
      <c r="E448" t="n">
        <v>2537034</v>
      </c>
      <c r="F448" t="n">
        <v>43.33476812708173</v>
      </c>
      <c r="G448" t="n">
        <v>143.255431653157</v>
      </c>
    </row>
    <row r="449">
      <c r="A449" t="inlineStr">
        <is>
          <t>鉄骨造</t>
        </is>
      </c>
      <c r="B449" t="inlineStr">
        <is>
          <t>病院・診療所</t>
        </is>
      </c>
      <c r="C449" t="inlineStr">
        <is>
          <t>令和4年12月分</t>
        </is>
      </c>
      <c r="D449" t="n">
        <v>58359</v>
      </c>
      <c r="E449" t="n">
        <v>1995069</v>
      </c>
      <c r="F449" t="n">
        <v>34.1861409551226</v>
      </c>
      <c r="G449" t="n">
        <v>113.0120360796669</v>
      </c>
    </row>
    <row r="450">
      <c r="A450" t="inlineStr">
        <is>
          <t>鉄骨造</t>
        </is>
      </c>
      <c r="B450" t="inlineStr">
        <is>
          <t>病院・診療所</t>
        </is>
      </c>
      <c r="C450" t="inlineStr">
        <is>
          <t>令和5年1月分</t>
        </is>
      </c>
      <c r="D450" t="n">
        <v>72190</v>
      </c>
      <c r="E450" t="n">
        <v>2761493</v>
      </c>
      <c r="F450" t="n">
        <v>38.25312370134368</v>
      </c>
      <c r="G450" t="n">
        <v>126.4566071254212</v>
      </c>
    </row>
    <row r="451">
      <c r="A451" t="inlineStr">
        <is>
          <t>鉄骨造</t>
        </is>
      </c>
      <c r="B451" t="inlineStr">
        <is>
          <t>病院・診療所</t>
        </is>
      </c>
      <c r="C451" t="inlineStr">
        <is>
          <t>令和5年2月分</t>
        </is>
      </c>
      <c r="D451" t="n">
        <v>163710</v>
      </c>
      <c r="E451" t="n">
        <v>7492181</v>
      </c>
      <c r="F451" t="n">
        <v>45.76495632520921</v>
      </c>
      <c r="G451" t="n">
        <v>151.2891116373265</v>
      </c>
    </row>
    <row r="452">
      <c r="A452" t="inlineStr">
        <is>
          <t>鉄骨造</t>
        </is>
      </c>
      <c r="B452" t="inlineStr">
        <is>
          <t>病院・診療所</t>
        </is>
      </c>
      <c r="C452" t="inlineStr">
        <is>
          <t>令和5年3月分</t>
        </is>
      </c>
      <c r="D452" t="n">
        <v>29840</v>
      </c>
      <c r="E452" t="n">
        <v>1086113</v>
      </c>
      <c r="F452" t="n">
        <v>36.39788873994638</v>
      </c>
      <c r="G452" t="n">
        <v>120.3235989959303</v>
      </c>
    </row>
    <row r="453">
      <c r="A453" t="inlineStr">
        <is>
          <t>鉄骨造</t>
        </is>
      </c>
      <c r="B453" t="inlineStr">
        <is>
          <t>病院・診療所</t>
        </is>
      </c>
      <c r="C453" t="inlineStr">
        <is>
          <t>令和5年4月分</t>
        </is>
      </c>
      <c r="D453" t="n">
        <v>35438</v>
      </c>
      <c r="E453" t="n">
        <v>1486760</v>
      </c>
      <c r="F453" t="n">
        <v>41.95383486652746</v>
      </c>
      <c r="G453" t="n">
        <v>138.6903630287036</v>
      </c>
    </row>
    <row r="454">
      <c r="A454" t="inlineStr">
        <is>
          <t>鉄骨造</t>
        </is>
      </c>
      <c r="B454" t="inlineStr">
        <is>
          <t>病院・診療所</t>
        </is>
      </c>
      <c r="C454" t="inlineStr">
        <is>
          <t>令和5年5月分</t>
        </is>
      </c>
      <c r="D454" t="n">
        <v>77116</v>
      </c>
      <c r="E454" t="n">
        <v>3958952</v>
      </c>
      <c r="F454" t="n">
        <v>51.33762124591524</v>
      </c>
      <c r="G454" t="n">
        <v>169.7111444109425</v>
      </c>
    </row>
    <row r="455">
      <c r="A455" t="inlineStr">
        <is>
          <t>鉄骨造</t>
        </is>
      </c>
      <c r="B455" t="inlineStr">
        <is>
          <t>病院・診療所</t>
        </is>
      </c>
      <c r="C455" t="inlineStr">
        <is>
          <t>令和5年6月分</t>
        </is>
      </c>
      <c r="D455" t="n">
        <v>46232</v>
      </c>
      <c r="E455" t="n">
        <v>1816366</v>
      </c>
      <c r="F455" t="n">
        <v>39.28806887004672</v>
      </c>
      <c r="G455" t="n">
        <v>129.8779134641357</v>
      </c>
    </row>
    <row r="456">
      <c r="A456" t="inlineStr">
        <is>
          <t>鉄骨造</t>
        </is>
      </c>
      <c r="B456" t="inlineStr">
        <is>
          <t>病院・診療所</t>
        </is>
      </c>
      <c r="C456" t="inlineStr">
        <is>
          <t>令和5年7月分</t>
        </is>
      </c>
      <c r="D456" t="n">
        <v>28963</v>
      </c>
      <c r="E456" t="n">
        <v>1084974</v>
      </c>
      <c r="F456" t="n">
        <v>37.46069122673756</v>
      </c>
      <c r="G456" t="n">
        <v>123.8369956422636</v>
      </c>
    </row>
    <row r="457">
      <c r="A457" t="inlineStr">
        <is>
          <t>鉄骨造</t>
        </is>
      </c>
      <c r="B457" t="inlineStr">
        <is>
          <t>病院・診療所</t>
        </is>
      </c>
      <c r="C457" t="inlineStr">
        <is>
          <t>令和5年8月分</t>
        </is>
      </c>
      <c r="D457" t="n">
        <v>60497</v>
      </c>
      <c r="E457" t="n">
        <v>3091654</v>
      </c>
      <c r="F457" t="n">
        <v>51.10425310345968</v>
      </c>
      <c r="G457" t="n">
        <v>168.9396794781308</v>
      </c>
    </row>
    <row r="458">
      <c r="A458" t="inlineStr">
        <is>
          <t>鉄骨造</t>
        </is>
      </c>
      <c r="B458" t="inlineStr">
        <is>
          <t>病院・診療所</t>
        </is>
      </c>
      <c r="C458" t="inlineStr">
        <is>
          <t>令和5年9月分</t>
        </is>
      </c>
      <c r="D458" t="n">
        <v>26281</v>
      </c>
      <c r="E458" t="n">
        <v>1308569</v>
      </c>
      <c r="F458" t="n">
        <v>49.79144629199802</v>
      </c>
      <c r="G458" t="n">
        <v>164.5998222553662</v>
      </c>
    </row>
    <row r="459">
      <c r="A459" t="inlineStr">
        <is>
          <t>鉄骨造</t>
        </is>
      </c>
      <c r="B459" t="inlineStr">
        <is>
          <t>病院・診療所</t>
        </is>
      </c>
      <c r="C459" t="inlineStr">
        <is>
          <t>令和5年10月分</t>
        </is>
      </c>
      <c r="D459" t="n">
        <v>45229</v>
      </c>
      <c r="E459" t="n">
        <v>2018809</v>
      </c>
      <c r="F459" t="n">
        <v>44.63527825067987</v>
      </c>
      <c r="G459" t="n">
        <v>147.5546386681572</v>
      </c>
    </row>
    <row r="460">
      <c r="A460" t="inlineStr">
        <is>
          <t>鉄骨造</t>
        </is>
      </c>
      <c r="B460" t="inlineStr">
        <is>
          <t>病院・診療所</t>
        </is>
      </c>
      <c r="C460" t="inlineStr">
        <is>
          <t>令和5年11月分</t>
        </is>
      </c>
      <c r="D460" t="n">
        <v>31937</v>
      </c>
      <c r="E460" t="n">
        <v>1354894</v>
      </c>
      <c r="F460" t="n">
        <v>42.4239596706015</v>
      </c>
      <c r="G460" t="n">
        <v>140.2444946105545</v>
      </c>
    </row>
    <row r="461">
      <c r="A461" t="inlineStr">
        <is>
          <t>鉄骨造</t>
        </is>
      </c>
      <c r="B461" t="inlineStr">
        <is>
          <t>病院・診療所</t>
        </is>
      </c>
      <c r="C461" t="inlineStr">
        <is>
          <t>令和5年12月分</t>
        </is>
      </c>
      <c r="D461" t="n">
        <v>21575</v>
      </c>
      <c r="E461" t="n">
        <v>771966</v>
      </c>
      <c r="F461" t="n">
        <v>35.78057937427578</v>
      </c>
      <c r="G461" t="n">
        <v>118.2829068804598</v>
      </c>
    </row>
    <row r="462">
      <c r="A462" t="inlineStr">
        <is>
          <t>鉄骨造</t>
        </is>
      </c>
      <c r="B462" t="inlineStr">
        <is>
          <t>病院・診療所</t>
        </is>
      </c>
      <c r="C462" t="inlineStr">
        <is>
          <t>令和6年1月分</t>
        </is>
      </c>
      <c r="D462" t="n">
        <v>18213</v>
      </c>
      <c r="E462" t="n">
        <v>718820</v>
      </c>
      <c r="F462" t="n">
        <v>39.46741338604294</v>
      </c>
      <c r="G462" t="n">
        <v>130.4707878964695</v>
      </c>
    </row>
    <row r="463">
      <c r="A463" t="inlineStr">
        <is>
          <t>鉄骨造</t>
        </is>
      </c>
      <c r="B463" t="inlineStr">
        <is>
          <t>病院・診療所</t>
        </is>
      </c>
      <c r="C463" t="inlineStr">
        <is>
          <t>令和6年2月分</t>
        </is>
      </c>
      <c r="D463" t="n">
        <v>61783</v>
      </c>
      <c r="E463" t="n">
        <v>2591161</v>
      </c>
      <c r="F463" t="n">
        <v>41.93970833400774</v>
      </c>
      <c r="G463" t="n">
        <v>138.6436637477028</v>
      </c>
    </row>
    <row r="464">
      <c r="A464" t="inlineStr">
        <is>
          <t>鉄骨造</t>
        </is>
      </c>
      <c r="B464" t="inlineStr">
        <is>
          <t>病院・診療所</t>
        </is>
      </c>
      <c r="C464" t="inlineStr">
        <is>
          <t>令和6年3月分</t>
        </is>
      </c>
      <c r="D464" t="n">
        <v>75208</v>
      </c>
      <c r="E464" t="n">
        <v>3674094</v>
      </c>
      <c r="F464" t="n">
        <v>48.85243591107329</v>
      </c>
      <c r="G464" t="n">
        <v>161.4956557105797</v>
      </c>
    </row>
    <row r="465">
      <c r="A465" t="inlineStr">
        <is>
          <t>鉄骨造</t>
        </is>
      </c>
      <c r="B465" t="inlineStr">
        <is>
          <t>病院・診療所</t>
        </is>
      </c>
      <c r="C465" t="inlineStr">
        <is>
          <t>令和6年4月分</t>
        </is>
      </c>
      <c r="D465" t="n">
        <v>39809</v>
      </c>
      <c r="E465" t="n">
        <v>1533622</v>
      </c>
      <c r="F465" t="n">
        <v>38.52450450903062</v>
      </c>
      <c r="G465" t="n">
        <v>127.3537337613263</v>
      </c>
    </row>
    <row r="466">
      <c r="A466" t="inlineStr">
        <is>
          <t>鉄骨造</t>
        </is>
      </c>
      <c r="B466" t="inlineStr">
        <is>
          <t>病院・診療所</t>
        </is>
      </c>
      <c r="C466" t="inlineStr">
        <is>
          <t>令和6年5月分</t>
        </is>
      </c>
      <c r="D466" t="n">
        <v>56450</v>
      </c>
      <c r="E466" t="n">
        <v>3493040</v>
      </c>
      <c r="F466" t="n">
        <v>61.87847652790079</v>
      </c>
      <c r="G466" t="n">
        <v>204.5569469542037</v>
      </c>
    </row>
    <row r="467">
      <c r="A467" t="inlineStr">
        <is>
          <t>鉄骨造</t>
        </is>
      </c>
      <c r="B467" t="inlineStr">
        <is>
          <t>病院・診療所</t>
        </is>
      </c>
      <c r="C467" t="inlineStr">
        <is>
          <t>令和6年6月分</t>
        </is>
      </c>
      <c r="D467" t="n">
        <v>30018</v>
      </c>
      <c r="E467" t="n">
        <v>1239589</v>
      </c>
      <c r="F467" t="n">
        <v>41.29485641948165</v>
      </c>
      <c r="G467" t="n">
        <v>136.5119218840589</v>
      </c>
    </row>
    <row r="468">
      <c r="A468" t="inlineStr">
        <is>
          <t>鉄骨造</t>
        </is>
      </c>
      <c r="B468" t="inlineStr">
        <is>
          <t>病院・診療所</t>
        </is>
      </c>
      <c r="C468" t="inlineStr">
        <is>
          <t>令和6年7月分</t>
        </is>
      </c>
      <c r="D468" t="n">
        <v>21802</v>
      </c>
      <c r="E468" t="n">
        <v>739533</v>
      </c>
      <c r="F468" t="n">
        <v>33.92042014494083</v>
      </c>
      <c r="G468" t="n">
        <v>112.1336201792937</v>
      </c>
    </row>
    <row r="469">
      <c r="A469" t="inlineStr">
        <is>
          <t>鉄骨造</t>
        </is>
      </c>
      <c r="B469" t="inlineStr">
        <is>
          <t>病院・診療所</t>
        </is>
      </c>
      <c r="C469" t="inlineStr">
        <is>
          <t>令和6年8月分</t>
        </is>
      </c>
      <c r="D469" t="n">
        <v>17463</v>
      </c>
      <c r="E469" t="n">
        <v>662700</v>
      </c>
      <c r="F469" t="n">
        <v>37.94880604707095</v>
      </c>
      <c r="G469" t="n">
        <v>125.4505983521732</v>
      </c>
    </row>
    <row r="470">
      <c r="A470" t="inlineStr">
        <is>
          <t>鉄骨造</t>
        </is>
      </c>
      <c r="B470" t="inlineStr">
        <is>
          <t>病院・診療所</t>
        </is>
      </c>
      <c r="C470" t="inlineStr">
        <is>
          <t>令和6年9月分</t>
        </is>
      </c>
      <c r="D470" t="n">
        <v>50757</v>
      </c>
      <c r="E470" t="n">
        <v>2939783</v>
      </c>
      <c r="F470" t="n">
        <v>57.91876982485174</v>
      </c>
      <c r="G470" t="n">
        <v>191.4670074556999</v>
      </c>
    </row>
    <row r="471">
      <c r="A471" t="inlineStr">
        <is>
          <t>鉄骨造</t>
        </is>
      </c>
      <c r="B471" t="inlineStr">
        <is>
          <t>病院・診療所</t>
        </is>
      </c>
      <c r="C471" t="inlineStr">
        <is>
          <t>令和6年10月分</t>
        </is>
      </c>
      <c r="D471" t="n">
        <v>15878</v>
      </c>
      <c r="E471" t="n">
        <v>569335</v>
      </c>
      <c r="F471" t="n">
        <v>35.85684595037159</v>
      </c>
      <c r="G471" t="n">
        <v>118.5350277928707</v>
      </c>
    </row>
    <row r="472">
      <c r="A472" t="inlineStr">
        <is>
          <t>鉄骨造</t>
        </is>
      </c>
      <c r="B472" t="inlineStr">
        <is>
          <t>病院・診療所</t>
        </is>
      </c>
      <c r="C472" t="inlineStr">
        <is>
          <t>令和6年11月分</t>
        </is>
      </c>
      <c r="D472" t="n">
        <v>85131</v>
      </c>
      <c r="E472" t="n">
        <v>5736312</v>
      </c>
      <c r="F472" t="n">
        <v>67.38217570567713</v>
      </c>
      <c r="G472" t="n">
        <v>222.7509938010529</v>
      </c>
    </row>
    <row r="473">
      <c r="A473" t="inlineStr">
        <is>
          <t>鉄骨造</t>
        </is>
      </c>
      <c r="B473" t="inlineStr">
        <is>
          <t>病院・診療所</t>
        </is>
      </c>
      <c r="C473" t="inlineStr">
        <is>
          <t>令和6年12月分</t>
        </is>
      </c>
      <c r="D473" t="n">
        <v>18176</v>
      </c>
      <c r="E473" t="n">
        <v>663243</v>
      </c>
      <c r="F473" t="n">
        <v>36.49004181338028</v>
      </c>
      <c r="G473" t="n">
        <v>120.6282372548503</v>
      </c>
    </row>
    <row r="474">
      <c r="A474" t="inlineStr">
        <is>
          <t>鉄骨造</t>
        </is>
      </c>
      <c r="B474" t="inlineStr">
        <is>
          <t>病院・診療所</t>
        </is>
      </c>
      <c r="C474" t="inlineStr">
        <is>
          <t>令和7年1月分</t>
        </is>
      </c>
      <c r="D474" t="n">
        <v>17345</v>
      </c>
      <c r="E474" t="n">
        <v>624753.37736</v>
      </c>
      <c r="F474" t="n">
        <v>36.01922037244163</v>
      </c>
      <c r="G474" t="n">
        <v>119.0718027412184</v>
      </c>
    </row>
    <row r="475">
      <c r="A475" t="inlineStr">
        <is>
          <t>鉄骨造</t>
        </is>
      </c>
      <c r="B475" t="inlineStr">
        <is>
          <t>病院・診療所</t>
        </is>
      </c>
      <c r="C475" t="inlineStr">
        <is>
          <t>令和7年2月分</t>
        </is>
      </c>
      <c r="D475" t="n">
        <v>59787</v>
      </c>
      <c r="E475" t="n">
        <v>3657944.04847</v>
      </c>
      <c r="F475" t="n">
        <v>61.18293355528794</v>
      </c>
      <c r="G475" t="n">
        <v>202.2576313450195</v>
      </c>
    </row>
    <row r="476">
      <c r="A476" t="inlineStr">
        <is>
          <t>鉄骨造</t>
        </is>
      </c>
      <c r="B476" t="inlineStr">
        <is>
          <t>病院・診療所</t>
        </is>
      </c>
      <c r="C476" t="inlineStr">
        <is>
          <t>令和7年3月分</t>
        </is>
      </c>
      <c r="D476" t="n">
        <v>81632</v>
      </c>
      <c r="E476" t="n">
        <v>5121355.70173</v>
      </c>
      <c r="F476" t="n">
        <v>62.73710924306644</v>
      </c>
      <c r="G476" t="n">
        <v>207.3954022075435</v>
      </c>
    </row>
    <row r="477">
      <c r="A477" t="inlineStr">
        <is>
          <t>鉄骨造</t>
        </is>
      </c>
      <c r="B477" t="inlineStr">
        <is>
          <t>病院・診療所</t>
        </is>
      </c>
      <c r="C477" t="inlineStr">
        <is>
          <t>令和7年4月分</t>
        </is>
      </c>
      <c r="D477" t="n">
        <v>89374</v>
      </c>
      <c r="E477" t="n">
        <v>4527145.63205</v>
      </c>
      <c r="F477" t="n">
        <v>50.65394445867926</v>
      </c>
      <c r="G477" t="n">
        <v>167.4510558608084</v>
      </c>
    </row>
    <row r="478">
      <c r="A478" t="inlineStr">
        <is>
          <t>鉄骨造</t>
        </is>
      </c>
      <c r="B478" t="inlineStr">
        <is>
          <t>病院・診療所</t>
        </is>
      </c>
      <c r="C478" t="inlineStr">
        <is>
          <t>令和7年5月分</t>
        </is>
      </c>
      <c r="D478" t="n">
        <v>39756</v>
      </c>
      <c r="E478" t="n">
        <v>2022945.23121</v>
      </c>
      <c r="F478" t="n">
        <v>50.88402332251736</v>
      </c>
      <c r="G478" t="n">
        <v>168.2116471453108</v>
      </c>
    </row>
    <row r="479">
      <c r="A479" t="inlineStr">
        <is>
          <t>鉄骨造</t>
        </is>
      </c>
      <c r="B479" t="inlineStr">
        <is>
          <t>病院・診療所</t>
        </is>
      </c>
      <c r="C479" t="inlineStr">
        <is>
          <t>令和7年6月分</t>
        </is>
      </c>
      <c r="F479" t="e">
        <v>#DIV/0!</v>
      </c>
      <c r="G479" t="e">
        <v>#DIV/0!</v>
      </c>
    </row>
    <row r="480">
      <c r="A480" t="inlineStr">
        <is>
          <t>鉄骨造</t>
        </is>
      </c>
      <c r="B480" t="inlineStr">
        <is>
          <t>病院・診療所</t>
        </is>
      </c>
      <c r="C480" t="inlineStr">
        <is>
          <t>令和7年7月分</t>
        </is>
      </c>
      <c r="F480" t="e">
        <v>#DIV/0!</v>
      </c>
      <c r="G480" t="e">
        <v>#DIV/0!</v>
      </c>
    </row>
    <row r="481">
      <c r="A481" t="inlineStr">
        <is>
          <t>鉄骨造</t>
        </is>
      </c>
      <c r="B481" t="inlineStr">
        <is>
          <t>病院・診療所</t>
        </is>
      </c>
      <c r="C481" t="inlineStr">
        <is>
          <t>令和7年8月分</t>
        </is>
      </c>
      <c r="F481" t="e">
        <v>#DIV/0!</v>
      </c>
      <c r="G481" t="e">
        <v>#DIV/0!</v>
      </c>
    </row>
    <row r="482">
      <c r="A482" t="inlineStr">
        <is>
          <t>鉄骨造</t>
        </is>
      </c>
      <c r="B482" t="inlineStr">
        <is>
          <t>その他</t>
        </is>
      </c>
      <c r="C482" t="inlineStr">
        <is>
          <t>2015（基準）</t>
        </is>
      </c>
      <c r="D482" t="n">
        <v>8608567</v>
      </c>
      <c r="E482" t="n">
        <v>167466039</v>
      </c>
      <c r="F482" t="n">
        <v>19.45341646292583</v>
      </c>
      <c r="G482" t="n">
        <v>64.30881467630323</v>
      </c>
    </row>
    <row r="483">
      <c r="A483" t="inlineStr">
        <is>
          <t>鉄骨造</t>
        </is>
      </c>
      <c r="B483" t="inlineStr">
        <is>
          <t>その他</t>
        </is>
      </c>
      <c r="C483" t="inlineStr">
        <is>
          <t>令和4年1月分</t>
        </is>
      </c>
      <c r="D483" t="n">
        <v>468787</v>
      </c>
      <c r="E483" t="n">
        <v>11628801</v>
      </c>
      <c r="F483" t="n">
        <v>24.80615076783273</v>
      </c>
      <c r="G483" t="n">
        <v>82.003804092778</v>
      </c>
    </row>
    <row r="484">
      <c r="A484" t="inlineStr">
        <is>
          <t>鉄骨造</t>
        </is>
      </c>
      <c r="B484" t="inlineStr">
        <is>
          <t>その他</t>
        </is>
      </c>
      <c r="C484" t="inlineStr">
        <is>
          <t>令和4年2月分</t>
        </is>
      </c>
      <c r="D484" t="n">
        <v>554269</v>
      </c>
      <c r="E484" t="n">
        <v>13303890</v>
      </c>
      <c r="F484" t="n">
        <v>24.00258719141788</v>
      </c>
      <c r="G484" t="n">
        <v>79.34739557889183</v>
      </c>
    </row>
    <row r="485">
      <c r="A485" t="inlineStr">
        <is>
          <t>鉄骨造</t>
        </is>
      </c>
      <c r="B485" t="inlineStr">
        <is>
          <t>その他</t>
        </is>
      </c>
      <c r="C485" t="inlineStr">
        <is>
          <t>令和4年3月分</t>
        </is>
      </c>
      <c r="D485" t="n">
        <v>475415</v>
      </c>
      <c r="E485" t="n">
        <v>11484248</v>
      </c>
      <c r="F485" t="n">
        <v>24.15625926821829</v>
      </c>
      <c r="G485" t="n">
        <v>79.85540244373811</v>
      </c>
    </row>
    <row r="486">
      <c r="A486" t="inlineStr">
        <is>
          <t>鉄骨造</t>
        </is>
      </c>
      <c r="B486" t="inlineStr">
        <is>
          <t>その他</t>
        </is>
      </c>
      <c r="C486" t="inlineStr">
        <is>
          <t>令和4年4月分</t>
        </is>
      </c>
      <c r="D486" t="n">
        <v>543839</v>
      </c>
      <c r="E486" t="n">
        <v>13801597</v>
      </c>
      <c r="F486" t="n">
        <v>25.37809351664739</v>
      </c>
      <c r="G486" t="n">
        <v>83.89452392130141</v>
      </c>
    </row>
    <row r="487">
      <c r="A487" t="inlineStr">
        <is>
          <t>鉄骨造</t>
        </is>
      </c>
      <c r="B487" t="inlineStr">
        <is>
          <t>その他</t>
        </is>
      </c>
      <c r="C487" t="inlineStr">
        <is>
          <t>令和4年5月分</t>
        </is>
      </c>
      <c r="D487" t="n">
        <v>444209</v>
      </c>
      <c r="E487" t="n">
        <v>14214159</v>
      </c>
      <c r="F487" t="n">
        <v>31.99880911913086</v>
      </c>
      <c r="G487" t="n">
        <v>105.7811870437431</v>
      </c>
    </row>
    <row r="488">
      <c r="A488" t="inlineStr">
        <is>
          <t>鉄骨造</t>
        </is>
      </c>
      <c r="B488" t="inlineStr">
        <is>
          <t>その他</t>
        </is>
      </c>
      <c r="C488" t="inlineStr">
        <is>
          <t>令和4年6月分</t>
        </is>
      </c>
      <c r="D488" t="n">
        <v>525185</v>
      </c>
      <c r="E488" t="n">
        <v>12856987</v>
      </c>
      <c r="F488" t="n">
        <v>24.48087245446843</v>
      </c>
      <c r="G488" t="n">
        <v>80.92850388459959</v>
      </c>
    </row>
    <row r="489">
      <c r="A489" t="inlineStr">
        <is>
          <t>鉄骨造</t>
        </is>
      </c>
      <c r="B489" t="inlineStr">
        <is>
          <t>その他</t>
        </is>
      </c>
      <c r="C489" t="inlineStr">
        <is>
          <t>令和4年7月分</t>
        </is>
      </c>
      <c r="D489" t="n">
        <v>784656</v>
      </c>
      <c r="E489" t="n">
        <v>23232064</v>
      </c>
      <c r="F489" t="n">
        <v>29.60796068595665</v>
      </c>
      <c r="G489" t="n">
        <v>97.87755586918048</v>
      </c>
    </row>
    <row r="490">
      <c r="A490" t="inlineStr">
        <is>
          <t>鉄骨造</t>
        </is>
      </c>
      <c r="B490" t="inlineStr">
        <is>
          <t>その他</t>
        </is>
      </c>
      <c r="C490" t="inlineStr">
        <is>
          <t>令和4年8月分</t>
        </is>
      </c>
      <c r="D490" t="n">
        <v>516754</v>
      </c>
      <c r="E490" t="n">
        <v>14356047</v>
      </c>
      <c r="F490" t="n">
        <v>27.78120150013353</v>
      </c>
      <c r="G490" t="n">
        <v>91.83868253486308</v>
      </c>
    </row>
    <row r="491">
      <c r="A491" t="inlineStr">
        <is>
          <t>鉄骨造</t>
        </is>
      </c>
      <c r="B491" t="inlineStr">
        <is>
          <t>その他</t>
        </is>
      </c>
      <c r="C491" t="inlineStr">
        <is>
          <t>令和4年9月分</t>
        </is>
      </c>
      <c r="D491" t="n">
        <v>483962</v>
      </c>
      <c r="E491" t="n">
        <v>13861034</v>
      </c>
      <c r="F491" t="n">
        <v>28.64074865381993</v>
      </c>
      <c r="G491" t="n">
        <v>94.68016072545794</v>
      </c>
    </row>
    <row r="492">
      <c r="A492" t="inlineStr">
        <is>
          <t>鉄骨造</t>
        </is>
      </c>
      <c r="B492" t="inlineStr">
        <is>
          <t>その他</t>
        </is>
      </c>
      <c r="C492" t="inlineStr">
        <is>
          <t>令和4年10月分</t>
        </is>
      </c>
      <c r="D492" t="n">
        <v>517179</v>
      </c>
      <c r="E492" t="n">
        <v>13067907</v>
      </c>
      <c r="F492" t="n">
        <v>25.26766748069817</v>
      </c>
      <c r="G492" t="n">
        <v>83.5294791747999</v>
      </c>
    </row>
    <row r="493">
      <c r="A493" t="inlineStr">
        <is>
          <t>鉄骨造</t>
        </is>
      </c>
      <c r="B493" t="inlineStr">
        <is>
          <t>その他</t>
        </is>
      </c>
      <c r="C493" t="inlineStr">
        <is>
          <t>令和4年11月分</t>
        </is>
      </c>
      <c r="D493" t="n">
        <v>493168</v>
      </c>
      <c r="E493" t="n">
        <v>12400631</v>
      </c>
      <c r="F493" t="n">
        <v>25.14484110891217</v>
      </c>
      <c r="G493" t="n">
        <v>83.12344158260616</v>
      </c>
    </row>
    <row r="494">
      <c r="A494" t="inlineStr">
        <is>
          <t>鉄骨造</t>
        </is>
      </c>
      <c r="B494" t="inlineStr">
        <is>
          <t>その他</t>
        </is>
      </c>
      <c r="C494" t="inlineStr">
        <is>
          <t>令和4年12月分</t>
        </is>
      </c>
      <c r="D494" t="n">
        <v>452254</v>
      </c>
      <c r="E494" t="n">
        <v>10896023</v>
      </c>
      <c r="F494" t="n">
        <v>24.09270675328466</v>
      </c>
      <c r="G494" t="n">
        <v>79.64531148553193</v>
      </c>
    </row>
    <row r="495">
      <c r="A495" t="inlineStr">
        <is>
          <t>鉄骨造</t>
        </is>
      </c>
      <c r="B495" t="inlineStr">
        <is>
          <t>その他</t>
        </is>
      </c>
      <c r="C495" t="inlineStr">
        <is>
          <t>令和5年1月分</t>
        </is>
      </c>
      <c r="D495" t="n">
        <v>426713</v>
      </c>
      <c r="E495" t="n">
        <v>12037838</v>
      </c>
      <c r="F495" t="n">
        <v>28.2106193155587</v>
      </c>
      <c r="G495" t="n">
        <v>93.25824555935854</v>
      </c>
    </row>
    <row r="496">
      <c r="A496" t="inlineStr">
        <is>
          <t>鉄骨造</t>
        </is>
      </c>
      <c r="B496" t="inlineStr">
        <is>
          <t>その他</t>
        </is>
      </c>
      <c r="C496" t="inlineStr">
        <is>
          <t>令和5年2月分</t>
        </is>
      </c>
      <c r="D496" t="n">
        <v>426628</v>
      </c>
      <c r="E496" t="n">
        <v>10028344</v>
      </c>
      <c r="F496" t="n">
        <v>23.50606148682224</v>
      </c>
      <c r="G496" t="n">
        <v>77.70598829294205</v>
      </c>
    </row>
    <row r="497">
      <c r="A497" t="inlineStr">
        <is>
          <t>鉄骨造</t>
        </is>
      </c>
      <c r="B497" t="inlineStr">
        <is>
          <t>その他</t>
        </is>
      </c>
      <c r="C497" t="inlineStr">
        <is>
          <t>令和5年3月分</t>
        </is>
      </c>
      <c r="D497" t="n">
        <v>429740</v>
      </c>
      <c r="E497" t="n">
        <v>10476952</v>
      </c>
      <c r="F497" t="n">
        <v>24.37974589286545</v>
      </c>
      <c r="G497" t="n">
        <v>80.59420120201573</v>
      </c>
    </row>
    <row r="498">
      <c r="A498" t="inlineStr">
        <is>
          <t>鉄骨造</t>
        </is>
      </c>
      <c r="B498" t="inlineStr">
        <is>
          <t>その他</t>
        </is>
      </c>
      <c r="C498" t="inlineStr">
        <is>
          <t>令和5年4月分</t>
        </is>
      </c>
      <c r="D498" t="n">
        <v>477653</v>
      </c>
      <c r="E498" t="n">
        <v>14518674</v>
      </c>
      <c r="F498" t="n">
        <v>30.39586059335961</v>
      </c>
      <c r="G498" t="n">
        <v>100.4821836591226</v>
      </c>
    </row>
    <row r="499">
      <c r="A499" t="inlineStr">
        <is>
          <t>鉄骨造</t>
        </is>
      </c>
      <c r="B499" t="inlineStr">
        <is>
          <t>その他</t>
        </is>
      </c>
      <c r="C499" t="inlineStr">
        <is>
          <t>令和5年5月分</t>
        </is>
      </c>
      <c r="D499" t="n">
        <v>436991</v>
      </c>
      <c r="E499" t="n">
        <v>13656448</v>
      </c>
      <c r="F499" t="n">
        <v>31.25109670450879</v>
      </c>
      <c r="G499" t="n">
        <v>103.3094104694462</v>
      </c>
    </row>
    <row r="500">
      <c r="A500" t="inlineStr">
        <is>
          <t>鉄骨造</t>
        </is>
      </c>
      <c r="B500" t="inlineStr">
        <is>
          <t>その他</t>
        </is>
      </c>
      <c r="C500" t="inlineStr">
        <is>
          <t>令和5年6月分</t>
        </is>
      </c>
      <c r="D500" t="n">
        <v>441980</v>
      </c>
      <c r="E500" t="n">
        <v>13211462</v>
      </c>
      <c r="F500" t="n">
        <v>29.89153807864609</v>
      </c>
      <c r="G500" t="n">
        <v>98.81500179430164</v>
      </c>
    </row>
    <row r="501">
      <c r="A501" t="inlineStr">
        <is>
          <t>鉄骨造</t>
        </is>
      </c>
      <c r="B501" t="inlineStr">
        <is>
          <t>その他</t>
        </is>
      </c>
      <c r="C501" t="inlineStr">
        <is>
          <t>令和5年7月分</t>
        </is>
      </c>
      <c r="D501" t="n">
        <v>587762</v>
      </c>
      <c r="E501" t="n">
        <v>18266439</v>
      </c>
      <c r="F501" t="n">
        <v>31.07795161987335</v>
      </c>
      <c r="G501" t="n">
        <v>102.7370300250572</v>
      </c>
    </row>
    <row r="502">
      <c r="A502" t="inlineStr">
        <is>
          <t>鉄骨造</t>
        </is>
      </c>
      <c r="B502" t="inlineStr">
        <is>
          <t>その他</t>
        </is>
      </c>
      <c r="C502" t="inlineStr">
        <is>
          <t>令和5年8月分</t>
        </is>
      </c>
      <c r="D502" t="n">
        <v>507410</v>
      </c>
      <c r="E502" t="n">
        <v>15077442</v>
      </c>
      <c r="F502" t="n">
        <v>29.71451488933998</v>
      </c>
      <c r="G502" t="n">
        <v>98.22980116919855</v>
      </c>
    </row>
    <row r="503">
      <c r="A503" t="inlineStr">
        <is>
          <t>鉄骨造</t>
        </is>
      </c>
      <c r="B503" t="inlineStr">
        <is>
          <t>その他</t>
        </is>
      </c>
      <c r="C503" t="inlineStr">
        <is>
          <t>令和5年9月分</t>
        </is>
      </c>
      <c r="D503" t="n">
        <v>431504</v>
      </c>
      <c r="E503" t="n">
        <v>13681572</v>
      </c>
      <c r="F503" t="n">
        <v>31.70670955541548</v>
      </c>
      <c r="G503" t="n">
        <v>104.8155686524543</v>
      </c>
    </row>
    <row r="504">
      <c r="A504" t="inlineStr">
        <is>
          <t>鉄骨造</t>
        </is>
      </c>
      <c r="B504" t="inlineStr">
        <is>
          <t>その他</t>
        </is>
      </c>
      <c r="C504" t="inlineStr">
        <is>
          <t>令和5年10月分</t>
        </is>
      </c>
      <c r="D504" t="n">
        <v>569025</v>
      </c>
      <c r="E504" t="n">
        <v>16385060</v>
      </c>
      <c r="F504" t="n">
        <v>28.79497385879355</v>
      </c>
      <c r="G504" t="n">
        <v>95.1899961131887</v>
      </c>
    </row>
    <row r="505">
      <c r="A505" t="inlineStr">
        <is>
          <t>鉄骨造</t>
        </is>
      </c>
      <c r="B505" t="inlineStr">
        <is>
          <t>その他</t>
        </is>
      </c>
      <c r="C505" t="inlineStr">
        <is>
          <t>令和5年11月分</t>
        </is>
      </c>
      <c r="D505" t="n">
        <v>384777</v>
      </c>
      <c r="E505" t="n">
        <v>12314279</v>
      </c>
      <c r="F505" t="n">
        <v>32.00367745473352</v>
      </c>
      <c r="G505" t="n">
        <v>105.7972807151375</v>
      </c>
    </row>
    <row r="506">
      <c r="A506" t="inlineStr">
        <is>
          <t>鉄骨造</t>
        </is>
      </c>
      <c r="B506" t="inlineStr">
        <is>
          <t>その他</t>
        </is>
      </c>
      <c r="C506" t="inlineStr">
        <is>
          <t>令和5年12月分</t>
        </is>
      </c>
      <c r="D506" t="n">
        <v>396343</v>
      </c>
      <c r="E506" t="n">
        <v>13183424</v>
      </c>
      <c r="F506" t="n">
        <v>33.26266390474917</v>
      </c>
      <c r="G506" t="n">
        <v>109.9592193878809</v>
      </c>
    </row>
    <row r="507">
      <c r="A507" t="inlineStr">
        <is>
          <t>鉄骨造</t>
        </is>
      </c>
      <c r="B507" t="inlineStr">
        <is>
          <t>その他</t>
        </is>
      </c>
      <c r="C507" t="inlineStr">
        <is>
          <t>令和6年1月分</t>
        </is>
      </c>
      <c r="D507" t="n">
        <v>382059</v>
      </c>
      <c r="E507" t="n">
        <v>13252033</v>
      </c>
      <c r="F507" t="n">
        <v>34.6858286285626</v>
      </c>
      <c r="G507" t="n">
        <v>114.6638961551723</v>
      </c>
    </row>
    <row r="508">
      <c r="A508" t="inlineStr">
        <is>
          <t>鉄骨造</t>
        </is>
      </c>
      <c r="B508" t="inlineStr">
        <is>
          <t>その他</t>
        </is>
      </c>
      <c r="C508" t="inlineStr">
        <is>
          <t>令和6年2月分</t>
        </is>
      </c>
      <c r="D508" t="n">
        <v>423007</v>
      </c>
      <c r="E508" t="n">
        <v>22456401</v>
      </c>
      <c r="F508" t="n">
        <v>53.08753992250719</v>
      </c>
      <c r="G508" t="n">
        <v>175.4959995332302</v>
      </c>
    </row>
    <row r="509">
      <c r="A509" t="inlineStr">
        <is>
          <t>鉄骨造</t>
        </is>
      </c>
      <c r="B509" t="inlineStr">
        <is>
          <t>その他</t>
        </is>
      </c>
      <c r="C509" t="inlineStr">
        <is>
          <t>令和6年3月分</t>
        </is>
      </c>
      <c r="D509" t="n">
        <v>467942</v>
      </c>
      <c r="E509" t="n">
        <v>19166153</v>
      </c>
      <c r="F509" t="n">
        <v>40.95839441640203</v>
      </c>
      <c r="G509" t="n">
        <v>135.3996508008329</v>
      </c>
    </row>
    <row r="510">
      <c r="A510" t="inlineStr">
        <is>
          <t>鉄骨造</t>
        </is>
      </c>
      <c r="B510" t="inlineStr">
        <is>
          <t>その他</t>
        </is>
      </c>
      <c r="C510" t="inlineStr">
        <is>
          <t>令和6年4月分</t>
        </is>
      </c>
      <c r="D510" t="n">
        <v>690848</v>
      </c>
      <c r="E510" t="n">
        <v>28299445</v>
      </c>
      <c r="F510" t="n">
        <v>40.96334504840428</v>
      </c>
      <c r="G510" t="n">
        <v>135.4160165264405</v>
      </c>
    </row>
    <row r="511">
      <c r="A511" t="inlineStr">
        <is>
          <t>鉄骨造</t>
        </is>
      </c>
      <c r="B511" t="inlineStr">
        <is>
          <t>その他</t>
        </is>
      </c>
      <c r="C511" t="inlineStr">
        <is>
          <t>令和6年5月分</t>
        </is>
      </c>
      <c r="D511" t="n">
        <v>369532</v>
      </c>
      <c r="E511" t="n">
        <v>12152064</v>
      </c>
      <c r="F511" t="n">
        <v>32.88501131160495</v>
      </c>
      <c r="G511" t="n">
        <v>108.7107810649353</v>
      </c>
    </row>
    <row r="512">
      <c r="A512" t="inlineStr">
        <is>
          <t>鉄骨造</t>
        </is>
      </c>
      <c r="B512" t="inlineStr">
        <is>
          <t>その他</t>
        </is>
      </c>
      <c r="C512" t="inlineStr">
        <is>
          <t>令和6年6月分</t>
        </is>
      </c>
      <c r="D512" t="n">
        <v>413077</v>
      </c>
      <c r="E512" t="n">
        <v>14026501</v>
      </c>
      <c r="F512" t="n">
        <v>33.95614134894947</v>
      </c>
      <c r="G512" t="n">
        <v>112.2517068039739</v>
      </c>
    </row>
    <row r="513">
      <c r="A513" t="inlineStr">
        <is>
          <t>鉄骨造</t>
        </is>
      </c>
      <c r="B513" t="inlineStr">
        <is>
          <t>その他</t>
        </is>
      </c>
      <c r="C513" t="inlineStr">
        <is>
          <t>令和6年7月分</t>
        </is>
      </c>
      <c r="D513" t="n">
        <v>369620</v>
      </c>
      <c r="E513" t="n">
        <v>11544272</v>
      </c>
      <c r="F513" t="n">
        <v>31.23281207726854</v>
      </c>
      <c r="G513" t="n">
        <v>103.2489654207906</v>
      </c>
    </row>
    <row r="514">
      <c r="A514" t="inlineStr">
        <is>
          <t>鉄骨造</t>
        </is>
      </c>
      <c r="B514" t="inlineStr">
        <is>
          <t>その他</t>
        </is>
      </c>
      <c r="C514" t="inlineStr">
        <is>
          <t>令和6年8月分</t>
        </is>
      </c>
      <c r="D514" t="n">
        <v>427197</v>
      </c>
      <c r="E514" t="n">
        <v>21559705</v>
      </c>
      <c r="F514" t="n">
        <v>50.46782865984546</v>
      </c>
      <c r="G514" t="n">
        <v>166.8357970224266</v>
      </c>
    </row>
    <row r="515">
      <c r="A515" t="inlineStr">
        <is>
          <t>鉄骨造</t>
        </is>
      </c>
      <c r="B515" t="inlineStr">
        <is>
          <t>その他</t>
        </is>
      </c>
      <c r="C515" t="inlineStr">
        <is>
          <t>令和6年9月分</t>
        </is>
      </c>
      <c r="D515" t="n">
        <v>473210</v>
      </c>
      <c r="E515" t="n">
        <v>17192389</v>
      </c>
      <c r="F515" t="n">
        <v>36.3314152279115</v>
      </c>
      <c r="G515" t="n">
        <v>120.1038518489712</v>
      </c>
    </row>
    <row r="516">
      <c r="A516" t="inlineStr">
        <is>
          <t>鉄骨造</t>
        </is>
      </c>
      <c r="B516" t="inlineStr">
        <is>
          <t>その他</t>
        </is>
      </c>
      <c r="C516" t="inlineStr">
        <is>
          <t>令和6年10月分</t>
        </is>
      </c>
      <c r="D516" t="n">
        <v>432596</v>
      </c>
      <c r="E516" t="n">
        <v>15735547</v>
      </c>
      <c r="F516" t="n">
        <v>36.37469370960434</v>
      </c>
      <c r="G516" t="n">
        <v>120.2469212097676</v>
      </c>
    </row>
    <row r="517">
      <c r="A517" t="inlineStr">
        <is>
          <t>鉄骨造</t>
        </is>
      </c>
      <c r="B517" t="inlineStr">
        <is>
          <t>その他</t>
        </is>
      </c>
      <c r="C517" t="inlineStr">
        <is>
          <t>令和6年11月分</t>
        </is>
      </c>
      <c r="D517" t="n">
        <v>344658</v>
      </c>
      <c r="E517" t="n">
        <v>10792773</v>
      </c>
      <c r="F517" t="n">
        <v>31.31444214264575</v>
      </c>
      <c r="G517" t="n">
        <v>103.5188168762592</v>
      </c>
    </row>
    <row r="518">
      <c r="A518" t="inlineStr">
        <is>
          <t>鉄骨造</t>
        </is>
      </c>
      <c r="B518" t="inlineStr">
        <is>
          <t>その他</t>
        </is>
      </c>
      <c r="C518" t="inlineStr">
        <is>
          <t>令和6年12月分</t>
        </is>
      </c>
      <c r="D518" t="n">
        <v>335412</v>
      </c>
      <c r="E518" t="n">
        <v>12330928</v>
      </c>
      <c r="F518" t="n">
        <v>36.76352664782417</v>
      </c>
      <c r="G518" t="n">
        <v>121.5323193511006</v>
      </c>
    </row>
    <row r="519">
      <c r="A519" t="inlineStr">
        <is>
          <t>鉄骨造</t>
        </is>
      </c>
      <c r="B519" t="inlineStr">
        <is>
          <t>その他</t>
        </is>
      </c>
      <c r="C519" t="inlineStr">
        <is>
          <t>令和7年1月分</t>
        </is>
      </c>
      <c r="D519" t="n">
        <v>353303</v>
      </c>
      <c r="E519" t="n">
        <v>10780340.16078</v>
      </c>
      <c r="F519" t="n">
        <v>30.51301619510732</v>
      </c>
      <c r="G519" t="n">
        <v>100.8694749041048</v>
      </c>
    </row>
    <row r="520">
      <c r="A520" t="inlineStr">
        <is>
          <t>鉄骨造</t>
        </is>
      </c>
      <c r="B520" t="inlineStr">
        <is>
          <t>その他</t>
        </is>
      </c>
      <c r="C520" t="inlineStr">
        <is>
          <t>令和7年2月分</t>
        </is>
      </c>
      <c r="D520" t="n">
        <v>270559</v>
      </c>
      <c r="E520" t="n">
        <v>12760862.00277</v>
      </c>
      <c r="F520" t="n">
        <v>47.16480325093602</v>
      </c>
      <c r="G520" t="n">
        <v>155.9167047746719</v>
      </c>
    </row>
    <row r="521">
      <c r="A521" t="inlineStr">
        <is>
          <t>鉄骨造</t>
        </is>
      </c>
      <c r="B521" t="inlineStr">
        <is>
          <t>その他</t>
        </is>
      </c>
      <c r="C521" t="inlineStr">
        <is>
          <t>令和7年3月分</t>
        </is>
      </c>
      <c r="D521" t="n">
        <v>469145</v>
      </c>
      <c r="E521" t="n">
        <v>25382588.23332</v>
      </c>
      <c r="F521" t="n">
        <v>54.10392998608106</v>
      </c>
      <c r="G521" t="n">
        <v>178.8559666815086</v>
      </c>
    </row>
    <row r="522">
      <c r="A522" t="inlineStr">
        <is>
          <t>鉄骨造</t>
        </is>
      </c>
      <c r="B522" t="inlineStr">
        <is>
          <t>その他</t>
        </is>
      </c>
      <c r="C522" t="inlineStr">
        <is>
          <t>令和7年4月分</t>
        </is>
      </c>
      <c r="D522" t="n">
        <v>1234635</v>
      </c>
      <c r="E522" t="n">
        <v>88701906.48126</v>
      </c>
      <c r="F522" t="n">
        <v>71.84463949366412</v>
      </c>
      <c r="G522" t="n">
        <v>237.5029401899192</v>
      </c>
    </row>
    <row r="523">
      <c r="A523" t="inlineStr">
        <is>
          <t>鉄骨造</t>
        </is>
      </c>
      <c r="B523" t="inlineStr">
        <is>
          <t>その他</t>
        </is>
      </c>
      <c r="C523" t="inlineStr">
        <is>
          <t>令和7年5月分</t>
        </is>
      </c>
      <c r="D523" t="n">
        <v>358272</v>
      </c>
      <c r="E523" t="n">
        <v>22722115.97924</v>
      </c>
      <c r="F523" t="n">
        <v>63.42141160693551</v>
      </c>
      <c r="G523" t="n">
        <v>209.6575587796027</v>
      </c>
    </row>
    <row r="524">
      <c r="A524" t="inlineStr">
        <is>
          <t>鉄骨造</t>
        </is>
      </c>
      <c r="B524" t="inlineStr">
        <is>
          <t>その他</t>
        </is>
      </c>
      <c r="C524" t="inlineStr">
        <is>
          <t>令和7年6月分</t>
        </is>
      </c>
      <c r="F524" t="e">
        <v>#DIV/0!</v>
      </c>
      <c r="G524" t="e">
        <v>#DIV/0!</v>
      </c>
    </row>
    <row r="525">
      <c r="A525" t="inlineStr">
        <is>
          <t>鉄骨造</t>
        </is>
      </c>
      <c r="B525" t="inlineStr">
        <is>
          <t>その他</t>
        </is>
      </c>
      <c r="C525" t="inlineStr">
        <is>
          <t>令和7年7月分</t>
        </is>
      </c>
      <c r="F525" t="e">
        <v>#DIV/0!</v>
      </c>
      <c r="G525" t="e">
        <v>#DIV/0!</v>
      </c>
    </row>
    <row r="526">
      <c r="A526" t="inlineStr">
        <is>
          <t>鉄骨造</t>
        </is>
      </c>
      <c r="B526" t="inlineStr">
        <is>
          <t>その他</t>
        </is>
      </c>
      <c r="C526" t="inlineStr">
        <is>
          <t>令和7年8月分</t>
        </is>
      </c>
      <c r="F526" t="e">
        <v>#DIV/0!</v>
      </c>
      <c r="G526" t="e">
        <v>#DIV/0!</v>
      </c>
    </row>
    <row r="527">
      <c r="A527" t="inlineStr">
        <is>
          <t>鉄骨造</t>
        </is>
      </c>
      <c r="B527" t="inlineStr">
        <is>
          <t>全体</t>
        </is>
      </c>
      <c r="C527" t="inlineStr">
        <is>
          <t>2015（基準）</t>
        </is>
      </c>
      <c r="D527" t="n">
        <v>1103222</v>
      </c>
      <c r="E527" t="n">
        <v>19509216</v>
      </c>
      <c r="F527" t="n">
        <v>17.68385329516634</v>
      </c>
      <c r="G527" t="n">
        <v>58.45901908742385</v>
      </c>
    </row>
    <row r="528">
      <c r="A528" t="inlineStr">
        <is>
          <t>鉄骨造</t>
        </is>
      </c>
      <c r="B528" t="inlineStr">
        <is>
          <t>全体</t>
        </is>
      </c>
      <c r="C528" t="inlineStr">
        <is>
          <t>令和4年1月分</t>
        </is>
      </c>
      <c r="D528" t="n">
        <v>159225</v>
      </c>
      <c r="E528" t="n">
        <v>5993976</v>
      </c>
      <c r="F528" t="n">
        <v>37.64469147432878</v>
      </c>
      <c r="G528" t="n">
        <v>124.4452609228269</v>
      </c>
    </row>
    <row r="529">
      <c r="A529" t="inlineStr">
        <is>
          <t>鉄骨造</t>
        </is>
      </c>
      <c r="B529" t="inlineStr">
        <is>
          <t>全体</t>
        </is>
      </c>
      <c r="C529" t="inlineStr">
        <is>
          <t>令和4年2月分</t>
        </is>
      </c>
      <c r="D529" t="n">
        <v>75673</v>
      </c>
      <c r="E529" t="n">
        <v>1420880</v>
      </c>
      <c r="F529" t="n">
        <v>18.77657817187108</v>
      </c>
      <c r="G529" t="n">
        <v>62.0713327250882</v>
      </c>
    </row>
    <row r="530">
      <c r="A530" t="inlineStr">
        <is>
          <t>鉄骨造</t>
        </is>
      </c>
      <c r="B530" t="inlineStr">
        <is>
          <t>全体</t>
        </is>
      </c>
      <c r="C530" t="inlineStr">
        <is>
          <t>令和4年3月分</t>
        </is>
      </c>
      <c r="D530" t="n">
        <v>41719</v>
      </c>
      <c r="E530" t="n">
        <v>1258500</v>
      </c>
      <c r="F530" t="n">
        <v>30.16611136412666</v>
      </c>
      <c r="G530" t="n">
        <v>99.7226820757928</v>
      </c>
    </row>
    <row r="531">
      <c r="A531" t="inlineStr">
        <is>
          <t>鉄骨造</t>
        </is>
      </c>
      <c r="B531" t="inlineStr">
        <is>
          <t>全体</t>
        </is>
      </c>
      <c r="C531" t="inlineStr">
        <is>
          <t>令和4年4月分</t>
        </is>
      </c>
      <c r="D531" t="n">
        <v>36580</v>
      </c>
      <c r="E531" t="n">
        <v>711484</v>
      </c>
      <c r="F531" t="n">
        <v>19.45008201202843</v>
      </c>
      <c r="G531" t="n">
        <v>64.29779169814324</v>
      </c>
    </row>
    <row r="532">
      <c r="A532" t="inlineStr">
        <is>
          <t>鉄骨造</t>
        </is>
      </c>
      <c r="B532" t="inlineStr">
        <is>
          <t>全体</t>
        </is>
      </c>
      <c r="C532" t="inlineStr">
        <is>
          <t>令和4年5月分</t>
        </is>
      </c>
      <c r="D532" t="n">
        <v>107748</v>
      </c>
      <c r="E532" t="n">
        <v>2528819</v>
      </c>
      <c r="F532" t="n">
        <v>23.46975349890485</v>
      </c>
      <c r="G532" t="n">
        <v>77.58596188674758</v>
      </c>
    </row>
    <row r="533">
      <c r="A533" t="inlineStr">
        <is>
          <t>鉄骨造</t>
        </is>
      </c>
      <c r="B533" t="inlineStr">
        <is>
          <t>全体</t>
        </is>
      </c>
      <c r="C533" t="inlineStr">
        <is>
          <t>令和4年6月分</t>
        </is>
      </c>
      <c r="D533" t="n">
        <v>102739</v>
      </c>
      <c r="E533" t="n">
        <v>3257069</v>
      </c>
      <c r="F533" t="n">
        <v>31.70236229669356</v>
      </c>
      <c r="G533" t="n">
        <v>104.8011975492586</v>
      </c>
    </row>
    <row r="534">
      <c r="A534" t="inlineStr">
        <is>
          <t>鉄骨造</t>
        </is>
      </c>
      <c r="B534" t="inlineStr">
        <is>
          <t>全体</t>
        </is>
      </c>
      <c r="C534" t="inlineStr">
        <is>
          <t>令和4年7月分</t>
        </is>
      </c>
      <c r="D534" t="n">
        <v>466219</v>
      </c>
      <c r="E534" t="n">
        <v>22831606</v>
      </c>
      <c r="F534" t="n">
        <v>48.97184799418299</v>
      </c>
      <c r="G534" t="n">
        <v>161.890406398072</v>
      </c>
    </row>
    <row r="535">
      <c r="A535" t="inlineStr">
        <is>
          <t>鉄骨造</t>
        </is>
      </c>
      <c r="B535" t="inlineStr">
        <is>
          <t>全体</t>
        </is>
      </c>
      <c r="C535" t="inlineStr">
        <is>
          <t>令和4年8月分</t>
        </is>
      </c>
      <c r="D535" t="n">
        <v>60919</v>
      </c>
      <c r="E535" t="n">
        <v>1858333</v>
      </c>
      <c r="F535" t="n">
        <v>30.5049820253123</v>
      </c>
      <c r="G535" t="n">
        <v>100.8429156651449</v>
      </c>
    </row>
    <row r="536">
      <c r="A536" t="inlineStr">
        <is>
          <t>鉄骨造</t>
        </is>
      </c>
      <c r="B536" t="inlineStr">
        <is>
          <t>全体</t>
        </is>
      </c>
      <c r="C536" t="inlineStr">
        <is>
          <t>令和4年9月分</t>
        </is>
      </c>
      <c r="D536" t="n">
        <v>122998</v>
      </c>
      <c r="E536" t="n">
        <v>2556975</v>
      </c>
      <c r="F536" t="n">
        <v>20.78875266264492</v>
      </c>
      <c r="G536" t="n">
        <v>68.72314921553196</v>
      </c>
    </row>
    <row r="537">
      <c r="A537" t="inlineStr">
        <is>
          <t>鉄骨造</t>
        </is>
      </c>
      <c r="B537" t="inlineStr">
        <is>
          <t>全体</t>
        </is>
      </c>
      <c r="C537" t="inlineStr">
        <is>
          <t>令和4年10月分</t>
        </is>
      </c>
      <c r="D537" t="n">
        <v>51633</v>
      </c>
      <c r="E537" t="n">
        <v>1309923</v>
      </c>
      <c r="F537" t="n">
        <v>25.36987972808088</v>
      </c>
      <c r="G537" t="n">
        <v>83.86737090127941</v>
      </c>
    </row>
    <row r="538">
      <c r="A538" t="inlineStr">
        <is>
          <t>鉄骨造</t>
        </is>
      </c>
      <c r="B538" t="inlineStr">
        <is>
          <t>全体</t>
        </is>
      </c>
      <c r="C538" t="inlineStr">
        <is>
          <t>令和4年11月分</t>
        </is>
      </c>
      <c r="D538" t="n">
        <v>143935</v>
      </c>
      <c r="E538" t="n">
        <v>5404134</v>
      </c>
      <c r="F538" t="n">
        <v>37.54565602528919</v>
      </c>
      <c r="G538" t="n">
        <v>124.1178710090393</v>
      </c>
    </row>
    <row r="539">
      <c r="A539" t="inlineStr">
        <is>
          <t>鉄骨造</t>
        </is>
      </c>
      <c r="B539" t="inlineStr">
        <is>
          <t>全体</t>
        </is>
      </c>
      <c r="C539" t="inlineStr">
        <is>
          <t>令和4年12月分</t>
        </is>
      </c>
      <c r="D539" t="n">
        <v>39881</v>
      </c>
      <c r="E539" t="n">
        <v>1205900</v>
      </c>
      <c r="F539" t="n">
        <v>30.23745643288784</v>
      </c>
      <c r="G539" t="n">
        <v>99.95853354248891</v>
      </c>
    </row>
    <row r="540">
      <c r="A540" t="inlineStr">
        <is>
          <t>鉄骨造</t>
        </is>
      </c>
      <c r="B540" t="inlineStr">
        <is>
          <t>全体</t>
        </is>
      </c>
      <c r="C540" t="inlineStr">
        <is>
          <t>令和5年1月分</t>
        </is>
      </c>
      <c r="D540" t="n">
        <v>143379</v>
      </c>
      <c r="E540" t="n">
        <v>3659626</v>
      </c>
      <c r="F540" t="n">
        <v>25.52414230814833</v>
      </c>
      <c r="G540" t="n">
        <v>84.37732984303922</v>
      </c>
    </row>
    <row r="541">
      <c r="A541" t="inlineStr">
        <is>
          <t>鉄骨造</t>
        </is>
      </c>
      <c r="B541" t="inlineStr">
        <is>
          <t>全体</t>
        </is>
      </c>
      <c r="C541" t="inlineStr">
        <is>
          <t>令和5年2月分</t>
        </is>
      </c>
      <c r="D541" t="n">
        <v>98141</v>
      </c>
      <c r="E541" t="n">
        <v>6161740</v>
      </c>
      <c r="F541" t="n">
        <v>62.78456506454999</v>
      </c>
      <c r="G541" t="n">
        <v>207.5522809560612</v>
      </c>
    </row>
    <row r="542">
      <c r="A542" t="inlineStr">
        <is>
          <t>鉄骨造</t>
        </is>
      </c>
      <c r="B542" t="inlineStr">
        <is>
          <t>全体</t>
        </is>
      </c>
      <c r="C542" t="inlineStr">
        <is>
          <t>令和5年3月分</t>
        </is>
      </c>
      <c r="D542" t="n">
        <v>63717</v>
      </c>
      <c r="E542" t="n">
        <v>1194731</v>
      </c>
      <c r="F542" t="n">
        <v>18.75058461635042</v>
      </c>
      <c r="G542" t="n">
        <v>61.98540361603214</v>
      </c>
    </row>
    <row r="543">
      <c r="A543" t="inlineStr">
        <is>
          <t>鉄骨造</t>
        </is>
      </c>
      <c r="B543" t="inlineStr">
        <is>
          <t>全体</t>
        </is>
      </c>
      <c r="C543" t="inlineStr">
        <is>
          <t>令和5年4月分</t>
        </is>
      </c>
      <c r="D543" t="n">
        <v>109508</v>
      </c>
      <c r="E543" t="n">
        <v>3975640</v>
      </c>
      <c r="F543" t="n">
        <v>36.30456222376447</v>
      </c>
      <c r="G543" t="n">
        <v>120.0150815874347</v>
      </c>
    </row>
    <row r="544">
      <c r="A544" t="inlineStr">
        <is>
          <t>鉄骨造</t>
        </is>
      </c>
      <c r="B544" t="inlineStr">
        <is>
          <t>全体</t>
        </is>
      </c>
      <c r="C544" t="inlineStr">
        <is>
          <t>令和5年5月分</t>
        </is>
      </c>
      <c r="D544" t="n">
        <v>22215</v>
      </c>
      <c r="E544" t="n">
        <v>576600</v>
      </c>
      <c r="F544" t="n">
        <v>25.95543551654288</v>
      </c>
      <c r="G544" t="n">
        <v>85.80309251370696</v>
      </c>
    </row>
    <row r="545">
      <c r="A545" t="inlineStr">
        <is>
          <t>鉄骨造</t>
        </is>
      </c>
      <c r="B545" t="inlineStr">
        <is>
          <t>全体</t>
        </is>
      </c>
      <c r="C545" t="inlineStr">
        <is>
          <t>令和5年6月分</t>
        </is>
      </c>
      <c r="D545" t="n">
        <v>120167</v>
      </c>
      <c r="E545" t="n">
        <v>5057849</v>
      </c>
      <c r="F545" t="n">
        <v>42.09016618539199</v>
      </c>
      <c r="G545" t="n">
        <v>139.141045073996</v>
      </c>
    </row>
    <row r="546">
      <c r="A546" t="inlineStr">
        <is>
          <t>鉄骨造</t>
        </is>
      </c>
      <c r="B546" t="inlineStr">
        <is>
          <t>全体</t>
        </is>
      </c>
      <c r="C546" t="inlineStr">
        <is>
          <t>令和5年7月分</t>
        </is>
      </c>
      <c r="D546" t="n">
        <v>100204</v>
      </c>
      <c r="E546" t="n">
        <v>4395390</v>
      </c>
      <c r="F546" t="n">
        <v>43.86441659015608</v>
      </c>
      <c r="G546" t="n">
        <v>145.0063356612191</v>
      </c>
    </row>
    <row r="547">
      <c r="A547" t="inlineStr">
        <is>
          <t>鉄骨造</t>
        </is>
      </c>
      <c r="B547" t="inlineStr">
        <is>
          <t>全体</t>
        </is>
      </c>
      <c r="C547" t="inlineStr">
        <is>
          <t>令和5年8月分</t>
        </is>
      </c>
      <c r="D547" t="n">
        <v>44090</v>
      </c>
      <c r="E547" t="n">
        <v>1815671</v>
      </c>
      <c r="F547" t="n">
        <v>41.18101610342481</v>
      </c>
      <c r="G547" t="n">
        <v>136.1355902611821</v>
      </c>
    </row>
    <row r="548">
      <c r="A548" t="inlineStr">
        <is>
          <t>鉄骨造</t>
        </is>
      </c>
      <c r="B548" t="inlineStr">
        <is>
          <t>全体</t>
        </is>
      </c>
      <c r="C548" t="inlineStr">
        <is>
          <t>令和5年9月分</t>
        </is>
      </c>
      <c r="D548" t="n">
        <v>40642</v>
      </c>
      <c r="E548" t="n">
        <v>1627548</v>
      </c>
      <c r="F548" t="n">
        <v>40.04596230500467</v>
      </c>
      <c r="G548" t="n">
        <v>132.3833463039653</v>
      </c>
    </row>
    <row r="549">
      <c r="A549" t="inlineStr">
        <is>
          <t>鉄骨造</t>
        </is>
      </c>
      <c r="B549" t="inlineStr">
        <is>
          <t>全体</t>
        </is>
      </c>
      <c r="C549" t="inlineStr">
        <is>
          <t>令和5年10月分</t>
        </is>
      </c>
      <c r="D549" t="n">
        <v>156857</v>
      </c>
      <c r="E549" t="n">
        <v>5989746</v>
      </c>
      <c r="F549" t="n">
        <v>38.1860293133236</v>
      </c>
      <c r="G549" t="n">
        <v>126.234807495869</v>
      </c>
    </row>
    <row r="550">
      <c r="A550" t="inlineStr">
        <is>
          <t>鉄骨造</t>
        </is>
      </c>
      <c r="B550" t="inlineStr">
        <is>
          <t>全体</t>
        </is>
      </c>
      <c r="C550" t="inlineStr">
        <is>
          <t>令和5年11月分</t>
        </is>
      </c>
      <c r="D550" t="n">
        <v>129724</v>
      </c>
      <c r="E550" t="n">
        <v>4570680</v>
      </c>
      <c r="F550" t="n">
        <v>35.2338811630847</v>
      </c>
      <c r="G550" t="n">
        <v>116.4756400687737</v>
      </c>
    </row>
    <row r="551">
      <c r="A551" t="inlineStr">
        <is>
          <t>鉄骨造</t>
        </is>
      </c>
      <c r="B551" t="inlineStr">
        <is>
          <t>全体</t>
        </is>
      </c>
      <c r="C551" t="inlineStr">
        <is>
          <t>令和5年12月分</t>
        </is>
      </c>
      <c r="D551" t="n">
        <v>69386</v>
      </c>
      <c r="E551" t="n">
        <v>3711854</v>
      </c>
      <c r="F551" t="n">
        <v>53.49571959761335</v>
      </c>
      <c r="G551" t="n">
        <v>176.8453538294826</v>
      </c>
    </row>
    <row r="552">
      <c r="A552" t="inlineStr">
        <is>
          <t>鉄骨造</t>
        </is>
      </c>
      <c r="B552" t="inlineStr">
        <is>
          <t>全体</t>
        </is>
      </c>
      <c r="C552" t="inlineStr">
        <is>
          <t>令和6年1月分</t>
        </is>
      </c>
      <c r="D552" t="n">
        <v>453605</v>
      </c>
      <c r="E552" t="n">
        <v>17408583</v>
      </c>
      <c r="F552" t="n">
        <v>38.37828727637482</v>
      </c>
      <c r="G552" t="n">
        <v>126.8703710093252</v>
      </c>
    </row>
    <row r="553">
      <c r="A553" t="inlineStr">
        <is>
          <t>鉄骨造</t>
        </is>
      </c>
      <c r="B553" t="inlineStr">
        <is>
          <t>全体</t>
        </is>
      </c>
      <c r="C553" t="inlineStr">
        <is>
          <t>令和6年2月分</t>
        </is>
      </c>
      <c r="D553" t="n">
        <v>70556</v>
      </c>
      <c r="E553" t="n">
        <v>3013703</v>
      </c>
      <c r="F553" t="n">
        <v>42.71363172515449</v>
      </c>
      <c r="G553" t="n">
        <v>141.2020881781756</v>
      </c>
    </row>
    <row r="554">
      <c r="A554" t="inlineStr">
        <is>
          <t>鉄骨造</t>
        </is>
      </c>
      <c r="B554" t="inlineStr">
        <is>
          <t>全体</t>
        </is>
      </c>
      <c r="C554" t="inlineStr">
        <is>
          <t>令和6年3月分</t>
        </is>
      </c>
      <c r="D554" t="n">
        <v>332838</v>
      </c>
      <c r="E554" t="n">
        <v>15401400</v>
      </c>
      <c r="F554" t="n">
        <v>46.27296162096876</v>
      </c>
      <c r="G554" t="n">
        <v>152.9684679849296</v>
      </c>
    </row>
    <row r="555">
      <c r="A555" t="inlineStr">
        <is>
          <t>鉄骨造</t>
        </is>
      </c>
      <c r="B555" t="inlineStr">
        <is>
          <t>全体</t>
        </is>
      </c>
      <c r="C555" t="inlineStr">
        <is>
          <t>令和6年4月分</t>
        </is>
      </c>
      <c r="D555" t="n">
        <v>236995</v>
      </c>
      <c r="E555" t="n">
        <v>14028450</v>
      </c>
      <c r="F555" t="n">
        <v>59.19302094980907</v>
      </c>
      <c r="G555" t="n">
        <v>195.6794078637271</v>
      </c>
    </row>
    <row r="556">
      <c r="A556" t="inlineStr">
        <is>
          <t>鉄骨造</t>
        </is>
      </c>
      <c r="B556" t="inlineStr">
        <is>
          <t>全体</t>
        </is>
      </c>
      <c r="C556" t="inlineStr">
        <is>
          <t>令和6年5月分</t>
        </is>
      </c>
      <c r="D556" t="n">
        <v>108920</v>
      </c>
      <c r="E556" t="n">
        <v>2562775</v>
      </c>
      <c r="F556" t="n">
        <v>23.52896621373485</v>
      </c>
      <c r="G556" t="n">
        <v>77.78170639834741</v>
      </c>
    </row>
    <row r="557">
      <c r="A557" t="inlineStr">
        <is>
          <t>鉄骨造</t>
        </is>
      </c>
      <c r="B557" t="inlineStr">
        <is>
          <t>全体</t>
        </is>
      </c>
      <c r="C557" t="inlineStr">
        <is>
          <t>令和6年6月分</t>
        </is>
      </c>
      <c r="D557" t="n">
        <v>55373</v>
      </c>
      <c r="E557" t="n">
        <v>2008887</v>
      </c>
      <c r="F557" t="n">
        <v>36.27917938345403</v>
      </c>
      <c r="G557" t="n">
        <v>119.9311713716331</v>
      </c>
    </row>
    <row r="558">
      <c r="A558" t="inlineStr">
        <is>
          <t>鉄骨造</t>
        </is>
      </c>
      <c r="B558" t="inlineStr">
        <is>
          <t>全体</t>
        </is>
      </c>
      <c r="C558" t="inlineStr">
        <is>
          <t>令和6年7月分</t>
        </is>
      </c>
      <c r="D558" t="n">
        <v>523788</v>
      </c>
      <c r="E558" t="n">
        <v>19125330</v>
      </c>
      <c r="F558" t="n">
        <v>36.51349400902655</v>
      </c>
      <c r="G558" t="n">
        <v>120.7057651742491</v>
      </c>
    </row>
    <row r="559">
      <c r="A559" t="inlineStr">
        <is>
          <t>鉄骨造</t>
        </is>
      </c>
      <c r="B559" t="inlineStr">
        <is>
          <t>全体</t>
        </is>
      </c>
      <c r="C559" t="inlineStr">
        <is>
          <t>令和6年8月分</t>
        </is>
      </c>
      <c r="D559" t="n">
        <v>126018</v>
      </c>
      <c r="E559" t="n">
        <v>10329075</v>
      </c>
      <c r="F559" t="n">
        <v>81.96507641765461</v>
      </c>
      <c r="G559" t="n">
        <v>270.9589299811455</v>
      </c>
    </row>
    <row r="560">
      <c r="A560" t="inlineStr">
        <is>
          <t>鉄骨造</t>
        </is>
      </c>
      <c r="B560" t="inlineStr">
        <is>
          <t>全体</t>
        </is>
      </c>
      <c r="C560" t="inlineStr">
        <is>
          <t>令和6年9月分</t>
        </is>
      </c>
      <c r="D560" t="n">
        <v>56886</v>
      </c>
      <c r="E560" t="n">
        <v>2276608</v>
      </c>
      <c r="F560" t="n">
        <v>40.02053229265549</v>
      </c>
      <c r="G560" t="n">
        <v>132.29928014754</v>
      </c>
    </row>
    <row r="561">
      <c r="A561" t="inlineStr">
        <is>
          <t>鉄骨造</t>
        </is>
      </c>
      <c r="B561" t="inlineStr">
        <is>
          <t>全体</t>
        </is>
      </c>
      <c r="C561" t="inlineStr">
        <is>
          <t>令和6年10月分</t>
        </is>
      </c>
      <c r="D561" t="n">
        <v>89961</v>
      </c>
      <c r="E561" t="n">
        <v>3861400</v>
      </c>
      <c r="F561" t="n">
        <v>42.92304443036427</v>
      </c>
      <c r="G561" t="n">
        <v>141.8943615829971</v>
      </c>
    </row>
    <row r="562">
      <c r="A562" t="inlineStr">
        <is>
          <t>鉄骨造</t>
        </is>
      </c>
      <c r="B562" t="inlineStr">
        <is>
          <t>全体</t>
        </is>
      </c>
      <c r="C562" t="inlineStr">
        <is>
          <t>令和6年11月分</t>
        </is>
      </c>
      <c r="D562" t="n">
        <v>262130</v>
      </c>
      <c r="E562" t="n">
        <v>5048134</v>
      </c>
      <c r="F562" t="n">
        <v>19.25813146148857</v>
      </c>
      <c r="G562" t="n">
        <v>63.66324442439278</v>
      </c>
    </row>
    <row r="563">
      <c r="A563" t="inlineStr">
        <is>
          <t>鉄骨造</t>
        </is>
      </c>
      <c r="B563" t="inlineStr">
        <is>
          <t>全体</t>
        </is>
      </c>
      <c r="C563" t="inlineStr">
        <is>
          <t>令和6年12月分</t>
        </is>
      </c>
      <c r="D563" t="n">
        <v>91150</v>
      </c>
      <c r="E563" t="n">
        <v>2552985</v>
      </c>
      <c r="F563" t="n">
        <v>28.00861217772902</v>
      </c>
      <c r="G563" t="n">
        <v>92.59045336898738</v>
      </c>
    </row>
    <row r="564">
      <c r="A564" t="inlineStr">
        <is>
          <t>鉄骨造</t>
        </is>
      </c>
      <c r="B564" t="inlineStr">
        <is>
          <t>全体</t>
        </is>
      </c>
      <c r="C564" t="inlineStr">
        <is>
          <t>令和7年1月分</t>
        </is>
      </c>
      <c r="D564" t="n">
        <v>126520</v>
      </c>
      <c r="E564" t="n">
        <v>4244079</v>
      </c>
      <c r="F564" t="n">
        <v>33.54472810622826</v>
      </c>
      <c r="G564" t="n">
        <v>110.8916630280152</v>
      </c>
    </row>
    <row r="565">
      <c r="A565" t="inlineStr">
        <is>
          <t>鉄骨造</t>
        </is>
      </c>
      <c r="B565" t="inlineStr">
        <is>
          <t>全体</t>
        </is>
      </c>
      <c r="C565" t="inlineStr">
        <is>
          <t>令和7年2月分</t>
        </is>
      </c>
      <c r="D565" t="n">
        <v>116427</v>
      </c>
      <c r="E565" t="n">
        <v>7631509</v>
      </c>
      <c r="F565" t="n">
        <v>65.54758775885318</v>
      </c>
      <c r="G565" t="n">
        <v>216.686240265111</v>
      </c>
    </row>
    <row r="566">
      <c r="A566" t="inlineStr">
        <is>
          <t>鉄骨造</t>
        </is>
      </c>
      <c r="B566" t="inlineStr">
        <is>
          <t>全体</t>
        </is>
      </c>
      <c r="C566" t="inlineStr">
        <is>
          <t>令和7年3月分</t>
        </is>
      </c>
      <c r="D566" t="n">
        <v>512631</v>
      </c>
      <c r="E566" t="n">
        <v>33631871</v>
      </c>
      <c r="F566" t="n">
        <v>65.6063932926413</v>
      </c>
      <c r="G566" t="n">
        <v>216.8806387236814</v>
      </c>
    </row>
    <row r="567">
      <c r="A567" t="inlineStr">
        <is>
          <t>鉄骨造</t>
        </is>
      </c>
      <c r="B567" t="inlineStr">
        <is>
          <t>全体</t>
        </is>
      </c>
      <c r="C567" t="inlineStr">
        <is>
          <t>令和7年4月分</t>
        </is>
      </c>
      <c r="D567" t="n">
        <v>981465</v>
      </c>
      <c r="E567" t="n">
        <v>74897323</v>
      </c>
      <c r="F567" t="n">
        <v>76.31176149939121</v>
      </c>
      <c r="G567" t="n">
        <v>252.2702856456764</v>
      </c>
    </row>
    <row r="568">
      <c r="A568" t="inlineStr">
        <is>
          <t>鉄骨造</t>
        </is>
      </c>
      <c r="B568" t="inlineStr">
        <is>
          <t>全体</t>
        </is>
      </c>
      <c r="C568" t="inlineStr">
        <is>
          <t>令和7年5月分</t>
        </is>
      </c>
      <c r="D568" t="n">
        <v>421367</v>
      </c>
      <c r="E568" t="n">
        <v>19018430</v>
      </c>
      <c r="F568" t="n">
        <v>45.13507227666144</v>
      </c>
      <c r="G568" t="n">
        <v>149.2068503223119</v>
      </c>
    </row>
    <row r="569">
      <c r="A569" t="inlineStr">
        <is>
          <t>鉄骨造</t>
        </is>
      </c>
      <c r="B569" t="inlineStr">
        <is>
          <t>全体</t>
        </is>
      </c>
      <c r="C569" t="inlineStr">
        <is>
          <t>令和7年6月分</t>
        </is>
      </c>
      <c r="D569" t="n">
        <v>324000</v>
      </c>
      <c r="E569" t="n">
        <v>13701446</v>
      </c>
      <c r="F569" t="n">
        <v>42.28841358024691</v>
      </c>
      <c r="G569" t="n">
        <v>139.7964083619862</v>
      </c>
    </row>
    <row r="570">
      <c r="A570" t="inlineStr">
        <is>
          <t>鉄骨造</t>
        </is>
      </c>
      <c r="B570" t="inlineStr">
        <is>
          <t>全体</t>
        </is>
      </c>
      <c r="C570" t="inlineStr">
        <is>
          <t>令和7年7月分</t>
        </is>
      </c>
      <c r="D570" t="n">
        <v>265842</v>
      </c>
      <c r="E570" t="n">
        <v>9772874</v>
      </c>
      <c r="F570" t="n">
        <v>36.76196387327811</v>
      </c>
      <c r="G570" t="n">
        <v>121.5271531542603</v>
      </c>
    </row>
    <row r="571">
      <c r="A571" t="inlineStr">
        <is>
          <t>鉄骨造</t>
        </is>
      </c>
      <c r="B571" t="inlineStr">
        <is>
          <t>全体</t>
        </is>
      </c>
      <c r="C571" t="inlineStr">
        <is>
          <t>令和7年8月分</t>
        </is>
      </c>
      <c r="D571" t="n">
        <v>258130</v>
      </c>
      <c r="E571" t="n">
        <v>14909790</v>
      </c>
      <c r="F571" t="n">
        <v>57.760779452214</v>
      </c>
      <c r="G571" t="n">
        <v>190.9447252327308</v>
      </c>
    </row>
    <row r="572">
      <c r="A572" t="inlineStr">
        <is>
          <t>鉄骨造</t>
        </is>
      </c>
      <c r="B572" t="inlineStr">
        <is>
          <t>全体</t>
        </is>
      </c>
      <c r="C572" t="inlineStr">
        <is>
          <t>令和7年8月分</t>
        </is>
      </c>
      <c r="D572" t="n">
        <v>734078</v>
      </c>
      <c r="E572" t="n">
        <v>38824049</v>
      </c>
      <c r="F572" t="n">
        <v>52.88817945776879</v>
      </c>
      <c r="G572" t="n">
        <v>174.8369566753817</v>
      </c>
    </row>
    <row r="573">
      <c r="A573" t="inlineStr">
        <is>
          <t>鉄骨造</t>
        </is>
      </c>
      <c r="B573" t="inlineStr">
        <is>
          <t>全体</t>
        </is>
      </c>
      <c r="C573" t="inlineStr">
        <is>
          <t>令和7年8月分</t>
        </is>
      </c>
      <c r="D573" t="n">
        <v>274612</v>
      </c>
      <c r="E573" t="n">
        <v>10789496</v>
      </c>
      <c r="F573" t="n">
        <v>39.28996547856612</v>
      </c>
      <c r="G573" t="n">
        <v>129.8841832443576</v>
      </c>
    </row>
    <row r="574">
      <c r="A574" t="inlineStr">
        <is>
          <t>鉄骨造</t>
        </is>
      </c>
      <c r="B574" t="inlineStr">
        <is>
          <t>全体</t>
        </is>
      </c>
      <c r="C574" t="inlineStr">
        <is>
          <t>令和7年8月分</t>
        </is>
      </c>
      <c r="D574" t="n">
        <v>197908</v>
      </c>
      <c r="E574" t="n">
        <v>8660604</v>
      </c>
      <c r="F574" t="n">
        <v>43.76075752369788</v>
      </c>
      <c r="G574" t="n">
        <v>144.6636610617685</v>
      </c>
    </row>
    <row r="575">
      <c r="A575" t="inlineStr">
        <is>
          <t>鉄骨造</t>
        </is>
      </c>
      <c r="B575" t="inlineStr">
        <is>
          <t>事務所</t>
        </is>
      </c>
      <c r="C575" t="inlineStr">
        <is>
          <t>2015（基準）</t>
        </is>
      </c>
      <c r="D575" t="n">
        <v>498519</v>
      </c>
      <c r="E575" t="n">
        <v>9638971</v>
      </c>
      <c r="F575" t="n">
        <v>19.33521290061161</v>
      </c>
      <c r="G575" t="n">
        <v>63.9180590988739</v>
      </c>
    </row>
    <row r="576">
      <c r="A576" t="inlineStr">
        <is>
          <t>鉄骨造</t>
        </is>
      </c>
      <c r="B576" t="inlineStr">
        <is>
          <t>事務所</t>
        </is>
      </c>
      <c r="C576" t="inlineStr">
        <is>
          <t>令和4年1月分</t>
        </is>
      </c>
      <c r="D576" t="n">
        <v>80650</v>
      </c>
      <c r="E576" t="n">
        <v>3313000</v>
      </c>
      <c r="F576" t="n">
        <v>41.07873527588345</v>
      </c>
      <c r="G576" t="n">
        <v>135.7974718234346</v>
      </c>
    </row>
    <row r="577">
      <c r="A577" t="inlineStr">
        <is>
          <t>鉄骨造</t>
        </is>
      </c>
      <c r="B577" t="inlineStr">
        <is>
          <t>事務所</t>
        </is>
      </c>
      <c r="C577" t="inlineStr">
        <is>
          <t>令和4年2月分</t>
        </is>
      </c>
      <c r="D577" t="n">
        <v>4639</v>
      </c>
      <c r="E577" t="n">
        <v>122000</v>
      </c>
      <c r="F577" t="n">
        <v>26.29877128691528</v>
      </c>
      <c r="G577" t="n">
        <v>86.93808679456779</v>
      </c>
    </row>
    <row r="578">
      <c r="A578" t="inlineStr">
        <is>
          <t>鉄骨造</t>
        </is>
      </c>
      <c r="B578" t="inlineStr">
        <is>
          <t>事務所</t>
        </is>
      </c>
      <c r="C578" t="inlineStr">
        <is>
          <t>令和4年3月分</t>
        </is>
      </c>
      <c r="D578" t="n">
        <v>15483</v>
      </c>
      <c r="E578" t="n">
        <v>580450</v>
      </c>
      <c r="F578" t="n">
        <v>37.48950461796809</v>
      </c>
      <c r="G578" t="n">
        <v>123.9322465222502</v>
      </c>
    </row>
    <row r="579">
      <c r="A579" t="inlineStr">
        <is>
          <t>鉄骨造</t>
        </is>
      </c>
      <c r="B579" t="inlineStr">
        <is>
          <t>事務所</t>
        </is>
      </c>
      <c r="C579" t="inlineStr">
        <is>
          <t>令和4年4月分</t>
        </is>
      </c>
      <c r="D579" t="n">
        <v>1714</v>
      </c>
      <c r="E579" t="n">
        <v>35400</v>
      </c>
      <c r="F579" t="n">
        <v>20.65344224037339</v>
      </c>
      <c r="G579" t="n">
        <v>68.27584203500582</v>
      </c>
    </row>
    <row r="580">
      <c r="A580" t="inlineStr">
        <is>
          <t>鉄骨造</t>
        </is>
      </c>
      <c r="B580" t="inlineStr">
        <is>
          <t>事務所</t>
        </is>
      </c>
      <c r="C580" t="inlineStr">
        <is>
          <t>令和4年5月分</t>
        </is>
      </c>
      <c r="D580" t="n">
        <v>24514</v>
      </c>
      <c r="E580" t="n">
        <v>969760</v>
      </c>
      <c r="F580" t="n">
        <v>39.5594354246553</v>
      </c>
      <c r="G580" t="n">
        <v>130.7749929824264</v>
      </c>
    </row>
    <row r="581">
      <c r="A581" t="inlineStr">
        <is>
          <t>鉄骨造</t>
        </is>
      </c>
      <c r="B581" t="inlineStr">
        <is>
          <t>事務所</t>
        </is>
      </c>
      <c r="C581" t="inlineStr">
        <is>
          <t>令和4年6月分</t>
        </is>
      </c>
      <c r="D581" t="n">
        <v>44780</v>
      </c>
      <c r="E581" t="n">
        <v>1883437</v>
      </c>
      <c r="F581" t="n">
        <v>42.05978115230013</v>
      </c>
      <c r="G581" t="n">
        <v>139.0405986837302</v>
      </c>
    </row>
    <row r="582">
      <c r="A582" t="inlineStr">
        <is>
          <t>鉄骨造</t>
        </is>
      </c>
      <c r="B582" t="inlineStr">
        <is>
          <t>事務所</t>
        </is>
      </c>
      <c r="C582" t="inlineStr">
        <is>
          <t>令和4年7月分</t>
        </is>
      </c>
      <c r="D582" t="n">
        <v>234789</v>
      </c>
      <c r="E582" t="n">
        <v>13363500</v>
      </c>
      <c r="F582" t="n">
        <v>56.91706170220922</v>
      </c>
      <c r="G582" t="n">
        <v>188.1555756492851</v>
      </c>
    </row>
    <row r="583">
      <c r="A583" t="inlineStr">
        <is>
          <t>鉄骨造</t>
        </is>
      </c>
      <c r="B583" t="inlineStr">
        <is>
          <t>事務所</t>
        </is>
      </c>
      <c r="C583" t="inlineStr">
        <is>
          <t>令和4年8月分</t>
        </is>
      </c>
      <c r="D583" t="n">
        <v>2280</v>
      </c>
      <c r="E583" t="n">
        <v>75000</v>
      </c>
      <c r="F583" t="n">
        <v>32.89473684210526</v>
      </c>
      <c r="G583" t="n">
        <v>108.7429315789473</v>
      </c>
    </row>
    <row r="584">
      <c r="A584" t="inlineStr">
        <is>
          <t>鉄骨造</t>
        </is>
      </c>
      <c r="B584" t="inlineStr">
        <is>
          <t>事務所</t>
        </is>
      </c>
      <c r="C584" t="inlineStr">
        <is>
          <t>令和4年9月分</t>
        </is>
      </c>
      <c r="D584" t="n">
        <v>5892</v>
      </c>
      <c r="E584" t="n">
        <v>327700</v>
      </c>
      <c r="F584" t="n">
        <v>55.61778682959946</v>
      </c>
      <c r="G584" t="n">
        <v>183.8604521086219</v>
      </c>
    </row>
    <row r="585">
      <c r="A585" t="inlineStr">
        <is>
          <t>鉄骨造</t>
        </is>
      </c>
      <c r="B585" t="inlineStr">
        <is>
          <t>事務所</t>
        </is>
      </c>
      <c r="C585" t="inlineStr">
        <is>
          <t>令和4年10月分</t>
        </is>
      </c>
      <c r="D585" t="n">
        <v>797</v>
      </c>
      <c r="E585" t="n">
        <v>20184</v>
      </c>
      <c r="F585" t="n">
        <v>25.32496863237139</v>
      </c>
      <c r="G585" t="n">
        <v>83.7189044693601</v>
      </c>
    </row>
    <row r="586">
      <c r="A586" t="inlineStr">
        <is>
          <t>鉄骨造</t>
        </is>
      </c>
      <c r="B586" t="inlineStr">
        <is>
          <t>事務所</t>
        </is>
      </c>
      <c r="C586" t="inlineStr">
        <is>
          <t>令和4年11月分</t>
        </is>
      </c>
      <c r="D586" t="n">
        <v>29687</v>
      </c>
      <c r="E586" t="n">
        <v>1023892</v>
      </c>
      <c r="F586" t="n">
        <v>34.48957456125577</v>
      </c>
      <c r="G586" t="n">
        <v>114.0151223797299</v>
      </c>
    </row>
    <row r="587">
      <c r="A587" t="inlineStr">
        <is>
          <t>鉄骨造</t>
        </is>
      </c>
      <c r="B587" t="inlineStr">
        <is>
          <t>事務所</t>
        </is>
      </c>
      <c r="C587" t="inlineStr">
        <is>
          <t>令和4年12月分</t>
        </is>
      </c>
      <c r="D587" t="n">
        <v>915</v>
      </c>
      <c r="E587" t="n">
        <v>24200</v>
      </c>
      <c r="F587" t="n">
        <v>26.44808743169399</v>
      </c>
      <c r="G587" t="n">
        <v>87.43169388415301</v>
      </c>
    </row>
    <row r="588">
      <c r="A588" t="inlineStr">
        <is>
          <t>鉄骨造</t>
        </is>
      </c>
      <c r="B588" t="inlineStr">
        <is>
          <t>事務所</t>
        </is>
      </c>
      <c r="C588" t="inlineStr">
        <is>
          <t>令和5年1月分</t>
        </is>
      </c>
      <c r="D588" t="n">
        <v>46977</v>
      </c>
      <c r="E588" t="n">
        <v>1820500</v>
      </c>
      <c r="F588" t="n">
        <v>38.75300679055708</v>
      </c>
      <c r="G588" t="n">
        <v>128.1091132034825</v>
      </c>
    </row>
    <row r="589">
      <c r="A589" t="inlineStr">
        <is>
          <t>鉄骨造</t>
        </is>
      </c>
      <c r="B589" t="inlineStr">
        <is>
          <t>事務所</t>
        </is>
      </c>
      <c r="C589" t="inlineStr">
        <is>
          <t>令和5年2月分</t>
        </is>
      </c>
      <c r="D589" t="n">
        <v>22073</v>
      </c>
      <c r="E589" t="n">
        <v>1270000</v>
      </c>
      <c r="F589" t="n">
        <v>57.5363566348027</v>
      </c>
      <c r="G589" t="n">
        <v>190.202831622344</v>
      </c>
    </row>
    <row r="590">
      <c r="A590" t="inlineStr">
        <is>
          <t>鉄骨造</t>
        </is>
      </c>
      <c r="B590" t="inlineStr">
        <is>
          <t>事務所</t>
        </is>
      </c>
      <c r="C590" t="inlineStr">
        <is>
          <t>令和5年3月分</t>
        </is>
      </c>
      <c r="D590" t="n">
        <v>9274</v>
      </c>
      <c r="E590" t="n">
        <v>397100</v>
      </c>
      <c r="F590" t="n">
        <v>42.8186327366832</v>
      </c>
      <c r="G590" t="n">
        <v>141.5491989596722</v>
      </c>
    </row>
    <row r="591">
      <c r="A591" t="inlineStr">
        <is>
          <t>鉄骨造</t>
        </is>
      </c>
      <c r="B591" t="inlineStr">
        <is>
          <t>事務所</t>
        </is>
      </c>
      <c r="C591" t="inlineStr">
        <is>
          <t>令和5年4月分</t>
        </is>
      </c>
      <c r="D591" t="n">
        <v>63729</v>
      </c>
      <c r="E591" t="n">
        <v>2824400</v>
      </c>
      <c r="F591" t="n">
        <v>44.31891289679738</v>
      </c>
      <c r="G591" t="n">
        <v>146.5088027888089</v>
      </c>
    </row>
    <row r="592">
      <c r="A592" t="inlineStr">
        <is>
          <t>鉄骨造</t>
        </is>
      </c>
      <c r="B592" t="inlineStr">
        <is>
          <t>事務所</t>
        </is>
      </c>
      <c r="C592" t="inlineStr">
        <is>
          <t>令和5年5月分</t>
        </is>
      </c>
      <c r="D592" t="n">
        <v>3286</v>
      </c>
      <c r="E592" t="n">
        <v>111200</v>
      </c>
      <c r="F592" t="n">
        <v>33.84053560559951</v>
      </c>
      <c r="G592" t="n">
        <v>111.8695390578211</v>
      </c>
    </row>
    <row r="593">
      <c r="A593" t="inlineStr">
        <is>
          <t>鉄骨造</t>
        </is>
      </c>
      <c r="B593" t="inlineStr">
        <is>
          <t>事務所</t>
        </is>
      </c>
      <c r="C593" t="inlineStr">
        <is>
          <t>令和5年6月分</t>
        </is>
      </c>
      <c r="D593" t="n">
        <v>91302</v>
      </c>
      <c r="E593" t="n">
        <v>4254000</v>
      </c>
      <c r="F593" t="n">
        <v>46.59262666754288</v>
      </c>
      <c r="G593" t="n">
        <v>154.0252119392784</v>
      </c>
    </row>
    <row r="594">
      <c r="A594" t="inlineStr">
        <is>
          <t>鉄骨造</t>
        </is>
      </c>
      <c r="B594" t="inlineStr">
        <is>
          <t>事務所</t>
        </is>
      </c>
      <c r="C594" t="inlineStr">
        <is>
          <t>令和5年7月分</t>
        </is>
      </c>
      <c r="D594" t="n">
        <v>60478</v>
      </c>
      <c r="E594" t="n">
        <v>3539990</v>
      </c>
      <c r="F594" t="n">
        <v>58.53351631998412</v>
      </c>
      <c r="G594" t="n">
        <v>193.4992272718807</v>
      </c>
    </row>
    <row r="595">
      <c r="A595" t="inlineStr">
        <is>
          <t>鉄骨造</t>
        </is>
      </c>
      <c r="B595" t="inlineStr">
        <is>
          <t>事務所</t>
        </is>
      </c>
      <c r="C595" t="inlineStr">
        <is>
          <t>令和5年8月分</t>
        </is>
      </c>
      <c r="D595" t="n">
        <v>4796</v>
      </c>
      <c r="E595" t="n">
        <v>191500</v>
      </c>
      <c r="F595" t="n">
        <v>39.92910758965805</v>
      </c>
      <c r="G595" t="n">
        <v>131.9970497247706</v>
      </c>
    </row>
    <row r="596">
      <c r="A596" t="inlineStr">
        <is>
          <t>鉄骨造</t>
        </is>
      </c>
      <c r="B596" t="inlineStr">
        <is>
          <t>事務所</t>
        </is>
      </c>
      <c r="C596" t="inlineStr">
        <is>
          <t>令和5年9月分</t>
        </is>
      </c>
      <c r="D596" t="n">
        <v>21176</v>
      </c>
      <c r="E596" t="n">
        <v>1108400</v>
      </c>
      <c r="F596" t="n">
        <v>52.34227427276161</v>
      </c>
      <c r="G596" t="n">
        <v>173.0323114378542</v>
      </c>
    </row>
    <row r="597">
      <c r="A597" t="inlineStr">
        <is>
          <t>鉄骨造</t>
        </is>
      </c>
      <c r="B597" t="inlineStr">
        <is>
          <t>事務所</t>
        </is>
      </c>
      <c r="C597" t="inlineStr">
        <is>
          <t>令和5年10月分</t>
        </is>
      </c>
      <c r="D597" t="n">
        <v>121848</v>
      </c>
      <c r="E597" t="n">
        <v>5081595</v>
      </c>
      <c r="F597" t="n">
        <v>41.70437758518811</v>
      </c>
      <c r="G597" t="n">
        <v>137.8657108599764</v>
      </c>
    </row>
    <row r="598">
      <c r="A598" t="inlineStr">
        <is>
          <t>鉄骨造</t>
        </is>
      </c>
      <c r="B598" t="inlineStr">
        <is>
          <t>事務所</t>
        </is>
      </c>
      <c r="C598" t="inlineStr">
        <is>
          <t>令和5年11月分</t>
        </is>
      </c>
      <c r="D598" t="n">
        <v>96242</v>
      </c>
      <c r="E598" t="n">
        <v>3775665</v>
      </c>
      <c r="F598" t="n">
        <v>39.23094906589639</v>
      </c>
      <c r="G598" t="n">
        <v>129.6890876655182</v>
      </c>
    </row>
    <row r="599">
      <c r="A599" t="inlineStr">
        <is>
          <t>鉄骨造</t>
        </is>
      </c>
      <c r="B599" t="inlineStr">
        <is>
          <t>事務所</t>
        </is>
      </c>
      <c r="C599" t="inlineStr">
        <is>
          <t>令和5年12月分</t>
        </is>
      </c>
      <c r="D599" t="n">
        <v>4155</v>
      </c>
      <c r="E599" t="n">
        <v>149000</v>
      </c>
      <c r="F599" t="n">
        <v>35.8604091456077</v>
      </c>
      <c r="G599" t="n">
        <v>118.5468069506619</v>
      </c>
    </row>
    <row r="600">
      <c r="A600" t="inlineStr">
        <is>
          <t>鉄骨造</t>
        </is>
      </c>
      <c r="B600" t="inlineStr">
        <is>
          <t>事務所</t>
        </is>
      </c>
      <c r="C600" t="inlineStr">
        <is>
          <t>令和6年1月分</t>
        </is>
      </c>
      <c r="D600" t="n">
        <v>412702</v>
      </c>
      <c r="E600" t="n">
        <v>15230143</v>
      </c>
      <c r="F600" t="n">
        <v>36.90348726199534</v>
      </c>
      <c r="G600" t="n">
        <v>121.9949990668137</v>
      </c>
    </row>
    <row r="601">
      <c r="A601" t="inlineStr">
        <is>
          <t>鉄骨造</t>
        </is>
      </c>
      <c r="B601" t="inlineStr">
        <is>
          <t>事務所</t>
        </is>
      </c>
      <c r="C601" t="inlineStr">
        <is>
          <t>令和6年2月分</t>
        </is>
      </c>
      <c r="D601" t="n">
        <v>31070</v>
      </c>
      <c r="E601" t="n">
        <v>706393</v>
      </c>
      <c r="F601" t="n">
        <v>22.73553266816865</v>
      </c>
      <c r="G601" t="n">
        <v>75.15878558970583</v>
      </c>
    </row>
    <row r="602">
      <c r="A602" t="inlineStr">
        <is>
          <t>鉄骨造</t>
        </is>
      </c>
      <c r="B602" t="inlineStr">
        <is>
          <t>事務所</t>
        </is>
      </c>
      <c r="C602" t="inlineStr">
        <is>
          <t>令和6年3月分</t>
        </is>
      </c>
      <c r="D602" t="n">
        <v>305819</v>
      </c>
      <c r="E602" t="n">
        <v>14492500</v>
      </c>
      <c r="F602" t="n">
        <v>47.38914194343713</v>
      </c>
      <c r="G602" t="n">
        <v>156.6583202861823</v>
      </c>
    </row>
    <row r="603">
      <c r="A603" t="inlineStr">
        <is>
          <t>鉄骨造</t>
        </is>
      </c>
      <c r="B603" t="inlineStr">
        <is>
          <t>事務所</t>
        </is>
      </c>
      <c r="C603" t="inlineStr">
        <is>
          <t>令和6年4月分</t>
        </is>
      </c>
      <c r="D603" t="n">
        <v>736</v>
      </c>
      <c r="E603" t="n">
        <v>25800</v>
      </c>
      <c r="F603" t="n">
        <v>35.05434782608695</v>
      </c>
      <c r="G603" t="n">
        <v>115.8821414347826</v>
      </c>
    </row>
    <row r="604">
      <c r="A604" t="inlineStr">
        <is>
          <t>鉄骨造</t>
        </is>
      </c>
      <c r="B604" t="inlineStr">
        <is>
          <t>事務所</t>
        </is>
      </c>
      <c r="C604" t="inlineStr">
        <is>
          <t>令和6年5月分</t>
        </is>
      </c>
      <c r="D604" t="n">
        <v>78458</v>
      </c>
      <c r="E604" t="n">
        <v>1191275</v>
      </c>
      <c r="F604" t="n">
        <v>15.18360141731882</v>
      </c>
      <c r="G604" t="n">
        <v>50.19372363338346</v>
      </c>
    </row>
    <row r="605">
      <c r="A605" t="inlineStr">
        <is>
          <t>鉄骨造</t>
        </is>
      </c>
      <c r="B605" t="inlineStr">
        <is>
          <t>事務所</t>
        </is>
      </c>
      <c r="C605" t="inlineStr">
        <is>
          <t>令和6年6月分</t>
        </is>
      </c>
      <c r="D605" t="n">
        <v>15607</v>
      </c>
      <c r="E605" t="n">
        <v>778000</v>
      </c>
      <c r="F605" t="n">
        <v>49.84942653937336</v>
      </c>
      <c r="G605" t="n">
        <v>164.7914924943935</v>
      </c>
    </row>
    <row r="606">
      <c r="A606" t="inlineStr">
        <is>
          <t>鉄骨造</t>
        </is>
      </c>
      <c r="B606" t="inlineStr">
        <is>
          <t>事務所</t>
        </is>
      </c>
      <c r="C606" t="inlineStr">
        <is>
          <t>令和6年7月分</t>
        </is>
      </c>
      <c r="D606" t="n">
        <v>398799</v>
      </c>
      <c r="E606" t="n">
        <v>16427800</v>
      </c>
      <c r="F606" t="n">
        <v>41.19318253054797</v>
      </c>
      <c r="G606" t="n">
        <v>136.1758098549294</v>
      </c>
    </row>
    <row r="607">
      <c r="A607" t="inlineStr">
        <is>
          <t>鉄骨造</t>
        </is>
      </c>
      <c r="B607" t="inlineStr">
        <is>
          <t>事務所</t>
        </is>
      </c>
      <c r="C607" t="inlineStr">
        <is>
          <t>令和6年8月分</t>
        </is>
      </c>
      <c r="D607" t="n">
        <v>2434</v>
      </c>
      <c r="E607" t="n">
        <v>170000</v>
      </c>
      <c r="F607" t="n">
        <v>69.84387838948233</v>
      </c>
      <c r="G607" t="n">
        <v>230.8888539030402</v>
      </c>
    </row>
    <row r="608">
      <c r="A608" t="inlineStr">
        <is>
          <t>鉄骨造</t>
        </is>
      </c>
      <c r="B608" t="inlineStr">
        <is>
          <t>事務所</t>
        </is>
      </c>
      <c r="C608" t="inlineStr">
        <is>
          <t>令和6年9月分</t>
        </is>
      </c>
      <c r="D608" t="n">
        <v>11024</v>
      </c>
      <c r="E608" t="n">
        <v>689900</v>
      </c>
      <c r="F608" t="n">
        <v>62.58164005805515</v>
      </c>
      <c r="G608" t="n">
        <v>206.8814544891146</v>
      </c>
    </row>
    <row r="609">
      <c r="A609" t="inlineStr">
        <is>
          <t>鉄骨造</t>
        </is>
      </c>
      <c r="B609" t="inlineStr">
        <is>
          <t>事務所</t>
        </is>
      </c>
      <c r="C609" t="inlineStr">
        <is>
          <t>令和6年10月分</t>
        </is>
      </c>
      <c r="D609" t="n">
        <v>32876</v>
      </c>
      <c r="E609" t="n">
        <v>1239800</v>
      </c>
      <c r="F609" t="n">
        <v>37.71140041367563</v>
      </c>
      <c r="G609" t="n">
        <v>124.6657863418907</v>
      </c>
    </row>
    <row r="610">
      <c r="A610" t="inlineStr">
        <is>
          <t>鉄骨造</t>
        </is>
      </c>
      <c r="B610" t="inlineStr">
        <is>
          <t>事務所</t>
        </is>
      </c>
      <c r="C610" t="inlineStr">
        <is>
          <t>令和6年11月分</t>
        </is>
      </c>
      <c r="D610" t="n">
        <v>1569</v>
      </c>
      <c r="E610" t="n">
        <v>88500</v>
      </c>
      <c r="F610" t="n">
        <v>56.40535372848949</v>
      </c>
      <c r="G610" t="n">
        <v>186.463979043977</v>
      </c>
    </row>
    <row r="611">
      <c r="A611" t="inlineStr">
        <is>
          <t>鉄骨造</t>
        </is>
      </c>
      <c r="B611" t="inlineStr">
        <is>
          <t>事務所</t>
        </is>
      </c>
      <c r="C611" t="inlineStr">
        <is>
          <t>令和6年12月分</t>
        </is>
      </c>
      <c r="D611" t="n">
        <v>12984</v>
      </c>
      <c r="E611" t="n">
        <v>793800</v>
      </c>
      <c r="F611" t="n">
        <v>61.13678373382625</v>
      </c>
      <c r="G611" t="n">
        <v>202.1050699519409</v>
      </c>
    </row>
    <row r="612">
      <c r="A612" t="inlineStr">
        <is>
          <t>鉄骨造</t>
        </is>
      </c>
      <c r="B612" t="inlineStr">
        <is>
          <t>事務所</t>
        </is>
      </c>
      <c r="C612" t="inlineStr">
        <is>
          <t>令和7年1月分</t>
        </is>
      </c>
      <c r="D612" t="n">
        <v>23484</v>
      </c>
      <c r="E612" t="n">
        <v>926228.83504</v>
      </c>
      <c r="F612" t="n">
        <v>39.44084632260262</v>
      </c>
      <c r="G612" t="n">
        <v>130.3829628934665</v>
      </c>
    </row>
    <row r="613">
      <c r="A613" t="inlineStr">
        <is>
          <t>鉄骨造</t>
        </is>
      </c>
      <c r="B613" t="inlineStr">
        <is>
          <t>事務所</t>
        </is>
      </c>
      <c r="C613" t="inlineStr">
        <is>
          <t>令和7年2月分</t>
        </is>
      </c>
      <c r="D613" t="n">
        <v>10211</v>
      </c>
      <c r="E613" t="n">
        <v>538339.59343</v>
      </c>
      <c r="F613" t="n">
        <v>52.72153495544021</v>
      </c>
      <c r="G613" t="n">
        <v>174.2860657592541</v>
      </c>
    </row>
    <row r="614">
      <c r="A614" t="inlineStr">
        <is>
          <t>鉄骨造</t>
        </is>
      </c>
      <c r="B614" t="inlineStr">
        <is>
          <t>事務所</t>
        </is>
      </c>
      <c r="C614" t="inlineStr">
        <is>
          <t>令和7年3月分</t>
        </is>
      </c>
      <c r="D614" t="n">
        <v>263207</v>
      </c>
      <c r="E614" t="n">
        <v>18687952.45525</v>
      </c>
      <c r="F614" t="n">
        <v>71.00097054884559</v>
      </c>
      <c r="G614" t="n">
        <v>234.713951945932</v>
      </c>
    </row>
    <row r="615">
      <c r="A615" t="inlineStr">
        <is>
          <t>鉄骨造</t>
        </is>
      </c>
      <c r="B615" t="inlineStr">
        <is>
          <t>事務所</t>
        </is>
      </c>
      <c r="C615" t="inlineStr">
        <is>
          <t>令和7年4月分</t>
        </is>
      </c>
      <c r="D615" t="n">
        <v>120803</v>
      </c>
      <c r="E615" t="n">
        <v>7146627.28308</v>
      </c>
      <c r="F615" t="n">
        <v>59.15935269057888</v>
      </c>
      <c r="G615" t="n">
        <v>195.5681078333476</v>
      </c>
    </row>
    <row r="616">
      <c r="A616" t="inlineStr">
        <is>
          <t>鉄骨造</t>
        </is>
      </c>
      <c r="B616" t="inlineStr">
        <is>
          <t>事務所</t>
        </is>
      </c>
      <c r="C616" t="inlineStr">
        <is>
          <t>令和7年5月分</t>
        </is>
      </c>
      <c r="D616" t="n">
        <v>83882</v>
      </c>
      <c r="E616" t="n">
        <v>4607638.76847</v>
      </c>
      <c r="F616" t="n">
        <v>54.93000606172956</v>
      </c>
      <c r="G616" t="n">
        <v>181.5867966803754</v>
      </c>
    </row>
    <row r="617">
      <c r="A617" t="inlineStr">
        <is>
          <t>鉄骨造</t>
        </is>
      </c>
      <c r="B617" t="inlineStr">
        <is>
          <t>事務所</t>
        </is>
      </c>
      <c r="C617" t="inlineStr">
        <is>
          <t>令和7年6月分</t>
        </is>
      </c>
      <c r="D617" t="n">
        <v>59418</v>
      </c>
      <c r="E617" t="n">
        <v>2871328.75438</v>
      </c>
      <c r="F617" t="n">
        <v>48.32422421454778</v>
      </c>
      <c r="G617" t="n">
        <v>159.7495013439957</v>
      </c>
    </row>
    <row r="618">
      <c r="A618" t="inlineStr">
        <is>
          <t>鉄骨造</t>
        </is>
      </c>
      <c r="B618" t="inlineStr">
        <is>
          <t>事務所</t>
        </is>
      </c>
      <c r="C618" t="inlineStr">
        <is>
          <t>令和7年7月分</t>
        </is>
      </c>
      <c r="D618" t="n">
        <v>66468</v>
      </c>
      <c r="E618" t="n">
        <v>3447883.42608</v>
      </c>
      <c r="F618" t="n">
        <v>51.8728324318469</v>
      </c>
      <c r="G618" t="n">
        <v>171.4804375854529</v>
      </c>
    </row>
    <row r="619">
      <c r="A619" t="inlineStr">
        <is>
          <t>鉄骨造</t>
        </is>
      </c>
      <c r="B619" t="inlineStr">
        <is>
          <t>事務所</t>
        </is>
      </c>
      <c r="C619" t="inlineStr">
        <is>
          <t>令和7年8月分</t>
        </is>
      </c>
      <c r="D619" t="n">
        <v>57755</v>
      </c>
      <c r="E619" t="n">
        <v>5069906.84627</v>
      </c>
      <c r="F619" t="n">
        <v>87.78299448134361</v>
      </c>
      <c r="G619" t="n">
        <v>290.1917169454678</v>
      </c>
    </row>
    <row r="620">
      <c r="A620" t="inlineStr">
        <is>
          <t>鉄骨造</t>
        </is>
      </c>
      <c r="B620" t="inlineStr">
        <is>
          <t>事務所</t>
        </is>
      </c>
      <c r="C620" t="inlineStr">
        <is>
          <t>令和7年8月分</t>
        </is>
      </c>
      <c r="D620" t="n">
        <v>208895</v>
      </c>
      <c r="E620" t="n">
        <v>16048052.1871</v>
      </c>
      <c r="F620" t="n">
        <v>76.82353424974269</v>
      </c>
      <c r="G620" t="n">
        <v>253.9620963886098</v>
      </c>
    </row>
    <row r="621">
      <c r="A621" t="inlineStr">
        <is>
          <t>鉄骨造</t>
        </is>
      </c>
      <c r="B621" t="inlineStr">
        <is>
          <t>事務所</t>
        </is>
      </c>
      <c r="C621" t="inlineStr">
        <is>
          <t>令和7年8月分</t>
        </is>
      </c>
      <c r="D621" t="n">
        <v>68750</v>
      </c>
      <c r="E621" t="n">
        <v>3714905.34334</v>
      </c>
      <c r="F621" t="n">
        <v>54.03498681221819</v>
      </c>
      <c r="G621" t="n">
        <v>178.6280553632271</v>
      </c>
    </row>
    <row r="622">
      <c r="A622" t="inlineStr">
        <is>
          <t>鉄骨造</t>
        </is>
      </c>
      <c r="B622" t="inlineStr">
        <is>
          <t>事務所</t>
        </is>
      </c>
      <c r="C622" t="inlineStr">
        <is>
          <t>令和7年8月分</t>
        </is>
      </c>
      <c r="D622" t="n">
        <v>27803</v>
      </c>
      <c r="E622" t="n">
        <v>1217216</v>
      </c>
      <c r="F622" t="n">
        <v>43.78002373844549</v>
      </c>
      <c r="G622" t="n">
        <v>144.7273510277999</v>
      </c>
    </row>
    <row r="623">
      <c r="A623" t="inlineStr">
        <is>
          <t>鉄骨造</t>
        </is>
      </c>
      <c r="B623" t="inlineStr">
        <is>
          <t>店舗</t>
        </is>
      </c>
      <c r="C623" t="inlineStr">
        <is>
          <t>2015（基準）</t>
        </is>
      </c>
      <c r="D623" t="n">
        <v>227898</v>
      </c>
      <c r="E623" t="n">
        <v>2802810</v>
      </c>
      <c r="F623" t="n">
        <v>12.29852828897138</v>
      </c>
      <c r="G623" t="n">
        <v>40.65629181558065</v>
      </c>
    </row>
    <row r="624">
      <c r="A624" t="inlineStr">
        <is>
          <t>鉄骨造</t>
        </is>
      </c>
      <c r="B624" t="inlineStr">
        <is>
          <t>店舗</t>
        </is>
      </c>
      <c r="C624" t="inlineStr">
        <is>
          <t>令和4年1月分</t>
        </is>
      </c>
      <c r="D624" t="n">
        <v>1427</v>
      </c>
      <c r="E624" t="n">
        <v>48000</v>
      </c>
      <c r="F624" t="n">
        <v>33.63700070077085</v>
      </c>
      <c r="G624" t="n">
        <v>111.1966963980378</v>
      </c>
    </row>
    <row r="625">
      <c r="A625" t="inlineStr">
        <is>
          <t>鉄骨造</t>
        </is>
      </c>
      <c r="B625" t="inlineStr">
        <is>
          <t>店舗</t>
        </is>
      </c>
      <c r="C625" t="inlineStr">
        <is>
          <t>令和4年2月分</t>
        </is>
      </c>
      <c r="D625" t="n">
        <v>5729</v>
      </c>
      <c r="E625" t="n">
        <v>129000</v>
      </c>
      <c r="F625" t="n">
        <v>22.51701867690696</v>
      </c>
      <c r="G625" t="n">
        <v>74.43642528888113</v>
      </c>
    </row>
    <row r="626">
      <c r="A626" t="inlineStr">
        <is>
          <t>鉄骨造</t>
        </is>
      </c>
      <c r="B626" t="inlineStr">
        <is>
          <t>店舗</t>
        </is>
      </c>
      <c r="C626" t="inlineStr">
        <is>
          <t>令和4年3月分</t>
        </is>
      </c>
      <c r="D626" t="n">
        <v>2607</v>
      </c>
      <c r="E626" t="n">
        <v>87800</v>
      </c>
      <c r="F626" t="n">
        <v>33.67855772919064</v>
      </c>
      <c r="G626" t="n">
        <v>111.3340750042194</v>
      </c>
    </row>
    <row r="627">
      <c r="A627" t="inlineStr">
        <is>
          <t>鉄骨造</t>
        </is>
      </c>
      <c r="B627" t="inlineStr">
        <is>
          <t>店舗</t>
        </is>
      </c>
      <c r="C627" t="inlineStr">
        <is>
          <t>令和4年4月分</t>
        </is>
      </c>
      <c r="D627" t="n">
        <v>10534</v>
      </c>
      <c r="E627" t="n">
        <v>270000</v>
      </c>
      <c r="F627" t="n">
        <v>25.63128915891399</v>
      </c>
      <c r="G627" t="n">
        <v>84.73153430795519</v>
      </c>
    </row>
    <row r="628">
      <c r="A628" t="inlineStr">
        <is>
          <t>鉄骨造</t>
        </is>
      </c>
      <c r="B628" t="inlineStr">
        <is>
          <t>店舗</t>
        </is>
      </c>
      <c r="C628" t="inlineStr">
        <is>
          <t>令和4年5月分</t>
        </is>
      </c>
      <c r="D628" t="n">
        <v>2176</v>
      </c>
      <c r="E628" t="n">
        <v>67000</v>
      </c>
      <c r="F628" t="n">
        <v>30.79044117647059</v>
      </c>
      <c r="G628" t="n">
        <v>101.7865822794118</v>
      </c>
    </row>
    <row r="629">
      <c r="A629" t="inlineStr">
        <is>
          <t>鉄骨造</t>
        </is>
      </c>
      <c r="B629" t="inlineStr">
        <is>
          <t>店舗</t>
        </is>
      </c>
      <c r="C629" t="inlineStr">
        <is>
          <t>令和4年6月分</t>
        </is>
      </c>
      <c r="D629" t="n">
        <v>14619</v>
      </c>
      <c r="E629" t="n">
        <v>383000</v>
      </c>
      <c r="F629" t="n">
        <v>26.19878240645735</v>
      </c>
      <c r="G629" t="n">
        <v>86.6075450413845</v>
      </c>
    </row>
    <row r="630">
      <c r="A630" t="inlineStr">
        <is>
          <t>鉄骨造</t>
        </is>
      </c>
      <c r="B630" t="inlineStr">
        <is>
          <t>店舗</t>
        </is>
      </c>
      <c r="C630" t="inlineStr">
        <is>
          <t>令和4年7月分</t>
        </is>
      </c>
      <c r="D630" t="n">
        <v>9175</v>
      </c>
      <c r="E630" t="n">
        <v>266000</v>
      </c>
      <c r="F630" t="n">
        <v>28.99182561307902</v>
      </c>
      <c r="G630" t="n">
        <v>95.8407457133515</v>
      </c>
    </row>
    <row r="631">
      <c r="A631" t="inlineStr">
        <is>
          <t>鉄骨造</t>
        </is>
      </c>
      <c r="B631" t="inlineStr">
        <is>
          <t>店舗</t>
        </is>
      </c>
      <c r="C631" t="inlineStr">
        <is>
          <t>令和4年8月分</t>
        </is>
      </c>
      <c r="D631" t="n">
        <v>23849</v>
      </c>
      <c r="E631" t="n">
        <v>269649</v>
      </c>
      <c r="F631" t="n">
        <v>11.30651180342991</v>
      </c>
      <c r="G631" t="n">
        <v>37.37689847888297</v>
      </c>
    </row>
    <row r="632">
      <c r="A632" t="inlineStr">
        <is>
          <t>鉄骨造</t>
        </is>
      </c>
      <c r="B632" t="inlineStr">
        <is>
          <t>店舗</t>
        </is>
      </c>
      <c r="C632" t="inlineStr">
        <is>
          <t>令和4年9月分</t>
        </is>
      </c>
      <c r="D632" t="n">
        <v>15</v>
      </c>
      <c r="E632" t="n">
        <v>600</v>
      </c>
      <c r="F632" t="n">
        <v>40</v>
      </c>
      <c r="G632" t="n">
        <v>132.2314048</v>
      </c>
    </row>
    <row r="633">
      <c r="A633" t="inlineStr">
        <is>
          <t>鉄骨造</t>
        </is>
      </c>
      <c r="B633" t="inlineStr">
        <is>
          <t>店舗</t>
        </is>
      </c>
      <c r="C633" t="inlineStr">
        <is>
          <t>令和4年10月分</t>
        </is>
      </c>
      <c r="D633" t="n">
        <v>37199</v>
      </c>
      <c r="E633" t="n">
        <v>852022</v>
      </c>
      <c r="F633" t="n">
        <v>22.9044329148633</v>
      </c>
      <c r="G633" t="n">
        <v>75.71713351199334</v>
      </c>
    </row>
    <row r="634">
      <c r="A634" t="inlineStr">
        <is>
          <t>鉄骨造</t>
        </is>
      </c>
      <c r="B634" t="inlineStr">
        <is>
          <t>店舗</t>
        </is>
      </c>
      <c r="C634" t="inlineStr">
        <is>
          <t>令和4年11月分</t>
        </is>
      </c>
      <c r="D634" t="n">
        <v>15052</v>
      </c>
      <c r="E634" t="n">
        <v>600480</v>
      </c>
      <c r="F634" t="n">
        <v>39.89370183364337</v>
      </c>
      <c r="G634" t="n">
        <v>131.880005903375</v>
      </c>
    </row>
    <row r="635">
      <c r="A635" t="inlineStr">
        <is>
          <t>鉄骨造</t>
        </is>
      </c>
      <c r="B635" t="inlineStr">
        <is>
          <t>店舗</t>
        </is>
      </c>
      <c r="C635" t="inlineStr">
        <is>
          <t>令和4年12月分</t>
        </is>
      </c>
      <c r="D635" t="n">
        <v>3100</v>
      </c>
      <c r="E635" t="n">
        <v>123000</v>
      </c>
      <c r="F635" t="n">
        <v>39.67741935483871</v>
      </c>
      <c r="G635" t="n">
        <v>131.1650225032258</v>
      </c>
    </row>
    <row r="636">
      <c r="A636" t="inlineStr">
        <is>
          <t>鉄骨造</t>
        </is>
      </c>
      <c r="B636" t="inlineStr">
        <is>
          <t>店舗</t>
        </is>
      </c>
      <c r="C636" t="inlineStr">
        <is>
          <t>令和5年1月分</t>
        </is>
      </c>
      <c r="D636" t="n">
        <v>17347</v>
      </c>
      <c r="E636" t="n">
        <v>351914</v>
      </c>
      <c r="F636" t="n">
        <v>20.28673545858073</v>
      </c>
      <c r="G636" t="n">
        <v>67.06358821235256</v>
      </c>
    </row>
    <row r="637">
      <c r="A637" t="inlineStr">
        <is>
          <t>鉄骨造</t>
        </is>
      </c>
      <c r="B637" t="inlineStr">
        <is>
          <t>店舗</t>
        </is>
      </c>
      <c r="C637" t="inlineStr">
        <is>
          <t>令和5年2月分</t>
        </is>
      </c>
      <c r="D637" t="n">
        <v>50847</v>
      </c>
      <c r="E637" t="n">
        <v>4401500</v>
      </c>
      <c r="F637" t="n">
        <v>86.56361240584499</v>
      </c>
      <c r="G637" t="n">
        <v>286.1607018246898</v>
      </c>
    </row>
    <row r="638">
      <c r="A638" t="inlineStr">
        <is>
          <t>鉄骨造</t>
        </is>
      </c>
      <c r="B638" t="inlineStr">
        <is>
          <t>店舗</t>
        </is>
      </c>
      <c r="C638" t="inlineStr">
        <is>
          <t>令和5年3月分</t>
        </is>
      </c>
      <c r="D638" t="n">
        <v>21492</v>
      </c>
      <c r="E638" t="n">
        <v>135500</v>
      </c>
      <c r="F638" t="n">
        <v>6.304671505676531</v>
      </c>
      <c r="G638" t="n">
        <v>20.84188924995347</v>
      </c>
    </row>
    <row r="639">
      <c r="A639" t="inlineStr">
        <is>
          <t>鉄骨造</t>
        </is>
      </c>
      <c r="B639" t="inlineStr">
        <is>
          <t>店舗</t>
        </is>
      </c>
      <c r="C639" t="inlineStr">
        <is>
          <t>令和5年4月分</t>
        </is>
      </c>
      <c r="D639" t="n">
        <v>3456</v>
      </c>
      <c r="E639" t="n">
        <v>76500</v>
      </c>
      <c r="F639" t="n">
        <v>22.13541666666667</v>
      </c>
      <c r="G639" t="n">
        <v>73.17493104166667</v>
      </c>
    </row>
    <row r="640">
      <c r="A640" t="inlineStr">
        <is>
          <t>鉄骨造</t>
        </is>
      </c>
      <c r="B640" t="inlineStr">
        <is>
          <t>店舗</t>
        </is>
      </c>
      <c r="C640" t="inlineStr">
        <is>
          <t>令和5年5月分</t>
        </is>
      </c>
      <c r="D640" t="n">
        <v>3554</v>
      </c>
      <c r="E640" t="n">
        <v>142200</v>
      </c>
      <c r="F640" t="n">
        <v>40.01125492402926</v>
      </c>
      <c r="G640" t="n">
        <v>132.2686111603826</v>
      </c>
    </row>
    <row r="641">
      <c r="A641" t="inlineStr">
        <is>
          <t>鉄骨造</t>
        </is>
      </c>
      <c r="B641" t="inlineStr">
        <is>
          <t>店舗</t>
        </is>
      </c>
      <c r="C641" t="inlineStr">
        <is>
          <t>令和5年6月分</t>
        </is>
      </c>
      <c r="D641" t="n">
        <v>9031</v>
      </c>
      <c r="E641" t="n">
        <v>267647</v>
      </c>
      <c r="F641" t="n">
        <v>29.63647436607242</v>
      </c>
      <c r="G641" t="n">
        <v>97.97181596862363</v>
      </c>
    </row>
    <row r="642">
      <c r="A642" t="inlineStr">
        <is>
          <t>鉄骨造</t>
        </is>
      </c>
      <c r="B642" t="inlineStr">
        <is>
          <t>店舗</t>
        </is>
      </c>
      <c r="C642" t="inlineStr">
        <is>
          <t>令和5年7月分</t>
        </is>
      </c>
      <c r="D642" t="n">
        <v>3516</v>
      </c>
      <c r="E642" t="n">
        <v>103000</v>
      </c>
      <c r="F642" t="n">
        <v>29.29465301478954</v>
      </c>
      <c r="G642" t="n">
        <v>96.84182803185438</v>
      </c>
    </row>
    <row r="643">
      <c r="A643" t="inlineStr">
        <is>
          <t>鉄骨造</t>
        </is>
      </c>
      <c r="B643" t="inlineStr">
        <is>
          <t>店舗</t>
        </is>
      </c>
      <c r="C643" t="inlineStr">
        <is>
          <t>令和5年8月分</t>
        </is>
      </c>
      <c r="D643" t="n">
        <v>6243</v>
      </c>
      <c r="E643" t="n">
        <v>164000</v>
      </c>
      <c r="F643" t="n">
        <v>26.26942175236265</v>
      </c>
      <c r="G643" t="n">
        <v>86.84106353996476</v>
      </c>
    </row>
    <row r="644">
      <c r="A644" t="inlineStr">
        <is>
          <t>鉄骨造</t>
        </is>
      </c>
      <c r="B644" t="inlineStr">
        <is>
          <t>店舗</t>
        </is>
      </c>
      <c r="C644" t="inlineStr">
        <is>
          <t>令和5年9月分</t>
        </is>
      </c>
      <c r="D644" t="n">
        <v>2193</v>
      </c>
      <c r="E644" t="n">
        <v>63500</v>
      </c>
      <c r="F644" t="n">
        <v>28.95576835385317</v>
      </c>
      <c r="G644" t="n">
        <v>95.7215481623347</v>
      </c>
    </row>
    <row r="645">
      <c r="A645" t="inlineStr">
        <is>
          <t>鉄骨造</t>
        </is>
      </c>
      <c r="B645" t="inlineStr">
        <is>
          <t>店舗</t>
        </is>
      </c>
      <c r="C645" t="inlineStr">
        <is>
          <t>令和5年10月分</t>
        </is>
      </c>
      <c r="D645" t="n">
        <v>1686</v>
      </c>
      <c r="E645" t="n">
        <v>15000</v>
      </c>
      <c r="F645" t="n">
        <v>8.896797153024911</v>
      </c>
      <c r="G645" t="n">
        <v>29.41089964412811</v>
      </c>
    </row>
    <row r="646">
      <c r="A646" t="inlineStr">
        <is>
          <t>鉄骨造</t>
        </is>
      </c>
      <c r="B646" t="inlineStr">
        <is>
          <t>店舗</t>
        </is>
      </c>
      <c r="C646" t="inlineStr">
        <is>
          <t>令和5年11月分</t>
        </is>
      </c>
      <c r="D646" t="n">
        <v>3229</v>
      </c>
      <c r="E646" t="n">
        <v>106500</v>
      </c>
      <c r="F646" t="n">
        <v>32.98234747599876</v>
      </c>
      <c r="G646" t="n">
        <v>109.0325535088263</v>
      </c>
    </row>
    <row r="647">
      <c r="A647" t="inlineStr">
        <is>
          <t>鉄骨造</t>
        </is>
      </c>
      <c r="B647" t="inlineStr">
        <is>
          <t>店舗</t>
        </is>
      </c>
      <c r="C647" t="inlineStr">
        <is>
          <t>令和5年12月分</t>
        </is>
      </c>
      <c r="D647" t="n">
        <v>5603</v>
      </c>
      <c r="E647" t="n">
        <v>336700</v>
      </c>
      <c r="F647" t="n">
        <v>60.09280742459396</v>
      </c>
      <c r="G647" t="n">
        <v>198.6539086032483</v>
      </c>
    </row>
    <row r="648">
      <c r="A648" t="inlineStr">
        <is>
          <t>鉄骨造</t>
        </is>
      </c>
      <c r="B648" t="inlineStr">
        <is>
          <t>店舗</t>
        </is>
      </c>
      <c r="C648" t="inlineStr">
        <is>
          <t>令和6年1月分</t>
        </is>
      </c>
      <c r="D648" t="n">
        <v>1251</v>
      </c>
      <c r="E648" t="n">
        <v>80000</v>
      </c>
      <c r="F648" t="n">
        <v>63.9488409272582</v>
      </c>
      <c r="G648" t="n">
        <v>211.4011267785772</v>
      </c>
    </row>
    <row r="649">
      <c r="A649" t="inlineStr">
        <is>
          <t>鉄骨造</t>
        </is>
      </c>
      <c r="B649" t="inlineStr">
        <is>
          <t>店舗</t>
        </is>
      </c>
      <c r="C649" t="inlineStr">
        <is>
          <t>令和6年2月分</t>
        </is>
      </c>
      <c r="D649" t="n">
        <v>2524</v>
      </c>
      <c r="E649" t="n">
        <v>84900</v>
      </c>
      <c r="F649" t="n">
        <v>33.63708399366086</v>
      </c>
      <c r="G649" t="n">
        <v>111.1969717464342</v>
      </c>
    </row>
    <row r="650">
      <c r="A650" t="inlineStr">
        <is>
          <t>鉄骨造</t>
        </is>
      </c>
      <c r="B650" t="inlineStr">
        <is>
          <t>店舗</t>
        </is>
      </c>
      <c r="C650" t="inlineStr">
        <is>
          <t>令和6年3月分</t>
        </is>
      </c>
      <c r="D650" t="n">
        <v>0</v>
      </c>
      <c r="E650" t="n">
        <v>0</v>
      </c>
      <c r="F650" t="e">
        <v>#DIV/0!</v>
      </c>
      <c r="G650" t="e">
        <v>#DIV/0!</v>
      </c>
    </row>
    <row r="651">
      <c r="A651" t="inlineStr">
        <is>
          <t>鉄骨造</t>
        </is>
      </c>
      <c r="B651" t="inlineStr">
        <is>
          <t>店舗</t>
        </is>
      </c>
      <c r="C651" t="inlineStr">
        <is>
          <t>令和6年4月分</t>
        </is>
      </c>
      <c r="D651" t="n">
        <v>109631</v>
      </c>
      <c r="E651" t="n">
        <v>5518000</v>
      </c>
      <c r="F651" t="n">
        <v>50.33247895212121</v>
      </c>
      <c r="G651" t="n">
        <v>166.3883599726355</v>
      </c>
    </row>
    <row r="652">
      <c r="A652" t="inlineStr">
        <is>
          <t>鉄骨造</t>
        </is>
      </c>
      <c r="B652" t="inlineStr">
        <is>
          <t>店舗</t>
        </is>
      </c>
      <c r="C652" t="inlineStr">
        <is>
          <t>令和6年5月分</t>
        </is>
      </c>
      <c r="D652" t="n">
        <v>9397</v>
      </c>
      <c r="E652" t="n">
        <v>378000</v>
      </c>
      <c r="F652" t="n">
        <v>40.22560391614345</v>
      </c>
      <c r="G652" t="n">
        <v>132.9772028690007</v>
      </c>
    </row>
    <row r="653">
      <c r="A653" t="inlineStr">
        <is>
          <t>鉄骨造</t>
        </is>
      </c>
      <c r="B653" t="inlineStr">
        <is>
          <t>店舗</t>
        </is>
      </c>
      <c r="C653" t="inlineStr">
        <is>
          <t>令和6年6月分</t>
        </is>
      </c>
      <c r="D653" t="n">
        <v>299</v>
      </c>
      <c r="E653" t="n">
        <v>12000</v>
      </c>
      <c r="F653" t="n">
        <v>40.13377926421405</v>
      </c>
      <c r="G653" t="n">
        <v>132.6736503010033</v>
      </c>
    </row>
    <row r="654">
      <c r="A654" t="inlineStr">
        <is>
          <t>鉄骨造</t>
        </is>
      </c>
      <c r="B654" t="inlineStr">
        <is>
          <t>店舗</t>
        </is>
      </c>
      <c r="C654" t="inlineStr">
        <is>
          <t>令和6年7月分</t>
        </is>
      </c>
      <c r="D654" t="n">
        <v>3365</v>
      </c>
      <c r="E654" t="n">
        <v>178500</v>
      </c>
      <c r="F654" t="n">
        <v>53.04606240713225</v>
      </c>
      <c r="G654" t="n">
        <v>175.3588837800892</v>
      </c>
    </row>
    <row r="655">
      <c r="A655" t="inlineStr">
        <is>
          <t>鉄骨造</t>
        </is>
      </c>
      <c r="B655" t="inlineStr">
        <is>
          <t>店舗</t>
        </is>
      </c>
      <c r="C655" t="inlineStr">
        <is>
          <t>令和6年8月分</t>
        </is>
      </c>
      <c r="D655" t="n">
        <v>25997</v>
      </c>
      <c r="E655" t="n">
        <v>684500</v>
      </c>
      <c r="F655" t="n">
        <v>26.32996114936339</v>
      </c>
      <c r="G655" t="n">
        <v>87.04119377774359</v>
      </c>
    </row>
    <row r="656">
      <c r="A656" t="inlineStr">
        <is>
          <t>鉄骨造</t>
        </is>
      </c>
      <c r="B656" t="inlineStr">
        <is>
          <t>店舗</t>
        </is>
      </c>
      <c r="C656" t="inlineStr">
        <is>
          <t>令和6年9月分</t>
        </is>
      </c>
      <c r="D656" t="n">
        <v>24936</v>
      </c>
      <c r="E656" t="n">
        <v>803601</v>
      </c>
      <c r="F656" t="n">
        <v>32.22653994225217</v>
      </c>
      <c r="G656" t="n">
        <v>106.5340162101829</v>
      </c>
    </row>
    <row r="657">
      <c r="A657" t="inlineStr">
        <is>
          <t>鉄骨造</t>
        </is>
      </c>
      <c r="B657" t="inlineStr">
        <is>
          <t>店舗</t>
        </is>
      </c>
      <c r="C657" t="inlineStr">
        <is>
          <t>令和6年10月分</t>
        </is>
      </c>
      <c r="D657" t="n">
        <v>6754</v>
      </c>
      <c r="E657" t="n">
        <v>476000</v>
      </c>
      <c r="F657" t="n">
        <v>70.47675451584246</v>
      </c>
      <c r="G657" t="n">
        <v>232.9810063843648</v>
      </c>
    </row>
    <row r="658">
      <c r="A658" t="inlineStr">
        <is>
          <t>鉄骨造</t>
        </is>
      </c>
      <c r="B658" t="inlineStr">
        <is>
          <t>店舗</t>
        </is>
      </c>
      <c r="C658" t="inlineStr">
        <is>
          <t>令和6年11月分</t>
        </is>
      </c>
      <c r="D658" t="n">
        <v>1806</v>
      </c>
      <c r="E658" t="n">
        <v>7270</v>
      </c>
      <c r="F658" t="n">
        <v>4.025470653377631</v>
      </c>
      <c r="G658" t="n">
        <v>13.30734098693245</v>
      </c>
    </row>
    <row r="659">
      <c r="A659" t="inlineStr">
        <is>
          <t>鉄骨造</t>
        </is>
      </c>
      <c r="B659" t="inlineStr">
        <is>
          <t>店舗</t>
        </is>
      </c>
      <c r="C659" t="inlineStr">
        <is>
          <t>令和6年12月分</t>
        </is>
      </c>
      <c r="D659" t="n">
        <v>3344</v>
      </c>
      <c r="E659" t="n">
        <v>151275</v>
      </c>
      <c r="F659" t="n">
        <v>45.23773923444976</v>
      </c>
      <c r="G659" t="n">
        <v>149.5462452236842</v>
      </c>
    </row>
    <row r="660">
      <c r="A660" t="inlineStr">
        <is>
          <t>鉄骨造</t>
        </is>
      </c>
      <c r="B660" t="inlineStr">
        <is>
          <t>店舗</t>
        </is>
      </c>
      <c r="C660" t="inlineStr">
        <is>
          <t>令和7年1月分</t>
        </is>
      </c>
      <c r="D660" t="n">
        <v>31865</v>
      </c>
      <c r="E660" t="n">
        <v>748199.43906</v>
      </c>
      <c r="F660" t="n">
        <v>23.48028994382551</v>
      </c>
      <c r="G660" t="n">
        <v>77.62079310958401</v>
      </c>
    </row>
    <row r="661">
      <c r="A661" t="inlineStr">
        <is>
          <t>鉄骨造</t>
        </is>
      </c>
      <c r="B661" t="inlineStr">
        <is>
          <t>店舗</t>
        </is>
      </c>
      <c r="C661" t="inlineStr">
        <is>
          <t>令和7年2月分</t>
        </is>
      </c>
      <c r="D661" t="n">
        <v>7857</v>
      </c>
      <c r="E661" t="n">
        <v>301931.62704</v>
      </c>
      <c r="F661" t="n">
        <v>38.42836032073311</v>
      </c>
      <c r="G661" t="n">
        <v>127.0359017342779</v>
      </c>
    </row>
    <row r="662">
      <c r="A662" t="inlineStr">
        <is>
          <t>鉄骨造</t>
        </is>
      </c>
      <c r="B662" t="inlineStr">
        <is>
          <t>店舗</t>
        </is>
      </c>
      <c r="C662" t="inlineStr">
        <is>
          <t>令和7年3月分</t>
        </is>
      </c>
      <c r="D662" t="n">
        <v>85817</v>
      </c>
      <c r="E662" t="n">
        <v>5595189.61136</v>
      </c>
      <c r="F662" t="n">
        <v>65.19908189939056</v>
      </c>
      <c r="G662" t="n">
        <v>215.5341547806667</v>
      </c>
    </row>
    <row r="663">
      <c r="A663" t="inlineStr">
        <is>
          <t>鉄骨造</t>
        </is>
      </c>
      <c r="B663" t="inlineStr">
        <is>
          <t>店舗</t>
        </is>
      </c>
      <c r="C663" t="inlineStr">
        <is>
          <t>令和7年4月分</t>
        </is>
      </c>
      <c r="D663" t="n">
        <v>87123</v>
      </c>
      <c r="E663" t="n">
        <v>5990048.27321</v>
      </c>
      <c r="F663" t="n">
        <v>68.75392575106459</v>
      </c>
      <c r="G663" t="n">
        <v>227.2857046894541</v>
      </c>
    </row>
    <row r="664">
      <c r="A664" t="inlineStr">
        <is>
          <t>鉄骨造</t>
        </is>
      </c>
      <c r="B664" t="inlineStr">
        <is>
          <t>店舗</t>
        </is>
      </c>
      <c r="C664" t="inlineStr">
        <is>
          <t>令和7年5月分</t>
        </is>
      </c>
      <c r="D664" t="n">
        <v>44228</v>
      </c>
      <c r="E664" t="n">
        <v>1533767.87925</v>
      </c>
      <c r="F664" t="n">
        <v>34.67866236886135</v>
      </c>
      <c r="G664" t="n">
        <v>114.6402060404858</v>
      </c>
    </row>
    <row r="665">
      <c r="A665" t="inlineStr">
        <is>
          <t>鉄骨造</t>
        </is>
      </c>
      <c r="B665" t="inlineStr">
        <is>
          <t>店舗</t>
        </is>
      </c>
      <c r="C665" t="inlineStr">
        <is>
          <t>令和7年6月分</t>
        </is>
      </c>
      <c r="D665" t="n">
        <v>46931</v>
      </c>
      <c r="E665" t="n">
        <v>1738413.45975</v>
      </c>
      <c r="F665" t="n">
        <v>37.04190108350557</v>
      </c>
      <c r="G665" t="n">
        <v>122.4525654183646</v>
      </c>
    </row>
    <row r="666">
      <c r="A666" t="inlineStr">
        <is>
          <t>鉄骨造</t>
        </is>
      </c>
      <c r="B666" t="inlineStr">
        <is>
          <t>店舗</t>
        </is>
      </c>
      <c r="C666" t="inlineStr">
        <is>
          <t>令和7年7月分</t>
        </is>
      </c>
      <c r="D666" t="n">
        <v>24433</v>
      </c>
      <c r="E666" t="n">
        <v>1049753.25973</v>
      </c>
      <c r="F666" t="n">
        <v>42.96456676339378</v>
      </c>
      <c r="G666" t="n">
        <v>142.0316254936737</v>
      </c>
    </row>
    <row r="667">
      <c r="A667" t="inlineStr">
        <is>
          <t>鉄骨造</t>
        </is>
      </c>
      <c r="B667" t="inlineStr">
        <is>
          <t>店舗</t>
        </is>
      </c>
      <c r="C667" t="inlineStr">
        <is>
          <t>令和7年8月分</t>
        </is>
      </c>
      <c r="D667" t="n">
        <v>20293</v>
      </c>
      <c r="E667" t="n">
        <v>796481.47251</v>
      </c>
      <c r="F667" t="n">
        <v>39.24907468141723</v>
      </c>
      <c r="G667" t="n">
        <v>129.7490070555978</v>
      </c>
    </row>
    <row r="668">
      <c r="A668" t="inlineStr">
        <is>
          <t>鉄骨造</t>
        </is>
      </c>
      <c r="B668" t="inlineStr">
        <is>
          <t>店舗</t>
        </is>
      </c>
      <c r="C668" t="inlineStr">
        <is>
          <t>令和7年8月分</t>
        </is>
      </c>
      <c r="D668" t="n">
        <v>41087</v>
      </c>
      <c r="E668" t="n">
        <v>2476355.72671</v>
      </c>
      <c r="F668" t="n">
        <v>60.27102798233018</v>
      </c>
      <c r="G668" t="n">
        <v>199.2430674710907</v>
      </c>
    </row>
    <row r="669">
      <c r="A669" t="inlineStr">
        <is>
          <t>鉄骨造</t>
        </is>
      </c>
      <c r="B669" t="inlineStr">
        <is>
          <t>店舗</t>
        </is>
      </c>
      <c r="C669" t="inlineStr">
        <is>
          <t>令和7年8月分</t>
        </is>
      </c>
      <c r="D669" t="n">
        <v>113478</v>
      </c>
      <c r="E669" t="n">
        <v>3633237.94225</v>
      </c>
      <c r="F669" t="n">
        <v>32.01711294039373</v>
      </c>
      <c r="G669" t="n">
        <v>105.841695543713</v>
      </c>
    </row>
    <row r="670">
      <c r="A670" t="inlineStr">
        <is>
          <t>鉄骨造</t>
        </is>
      </c>
      <c r="B670" t="inlineStr">
        <is>
          <t>店舗</t>
        </is>
      </c>
      <c r="C670" t="inlineStr">
        <is>
          <t>令和7年8月分</t>
        </is>
      </c>
      <c r="D670" t="n">
        <v>81814</v>
      </c>
      <c r="E670" t="n">
        <v>4079044</v>
      </c>
      <c r="F670" t="n">
        <v>49.85753049600313</v>
      </c>
      <c r="G670" t="n">
        <v>164.8182824336334</v>
      </c>
    </row>
    <row r="671">
      <c r="A671" t="inlineStr">
        <is>
          <t>鉄骨造</t>
        </is>
      </c>
      <c r="B671" t="inlineStr">
        <is>
          <t>工場及び作業場</t>
        </is>
      </c>
      <c r="C671" t="inlineStr">
        <is>
          <t>2015（基準）</t>
        </is>
      </c>
      <c r="D671" t="n">
        <v>62005</v>
      </c>
      <c r="E671" t="n">
        <v>1252055</v>
      </c>
      <c r="F671" t="n">
        <v>20.19280703169099</v>
      </c>
      <c r="G671" t="n">
        <v>66.75308101639546</v>
      </c>
    </row>
    <row r="672">
      <c r="A672" t="inlineStr">
        <is>
          <t>鉄骨造</t>
        </is>
      </c>
      <c r="B672" t="inlineStr">
        <is>
          <t>工場及び作業場</t>
        </is>
      </c>
      <c r="C672" t="inlineStr">
        <is>
          <t>令和4年1月分</t>
        </is>
      </c>
      <c r="D672" t="n">
        <v>2209</v>
      </c>
      <c r="E672" t="n">
        <v>94000</v>
      </c>
      <c r="F672" t="n">
        <v>42.5531914893617</v>
      </c>
      <c r="G672" t="n">
        <v>140.6717072340425</v>
      </c>
    </row>
    <row r="673">
      <c r="A673" t="inlineStr">
        <is>
          <t>鉄骨造</t>
        </is>
      </c>
      <c r="B673" t="inlineStr">
        <is>
          <t>工場及び作業場</t>
        </is>
      </c>
      <c r="C673" t="inlineStr">
        <is>
          <t>令和4年2月分</t>
        </is>
      </c>
      <c r="D673" t="n">
        <v>19431</v>
      </c>
      <c r="E673" t="n">
        <v>596950</v>
      </c>
      <c r="F673" t="n">
        <v>30.72152745612681</v>
      </c>
      <c r="G673" t="n">
        <v>101.5587683281355</v>
      </c>
    </row>
    <row r="674">
      <c r="A674" t="inlineStr">
        <is>
          <t>鉄骨造</t>
        </is>
      </c>
      <c r="B674" t="inlineStr">
        <is>
          <t>工場及び作業場</t>
        </is>
      </c>
      <c r="C674" t="inlineStr">
        <is>
          <t>令和4年3月分</t>
        </is>
      </c>
      <c r="D674" t="n">
        <v>5584</v>
      </c>
      <c r="E674" t="n">
        <v>113500</v>
      </c>
      <c r="F674" t="n">
        <v>20.32593123209169</v>
      </c>
      <c r="G674" t="n">
        <v>67.19316101719197</v>
      </c>
    </row>
    <row r="675">
      <c r="A675" t="inlineStr">
        <is>
          <t>鉄骨造</t>
        </is>
      </c>
      <c r="B675" t="inlineStr">
        <is>
          <t>工場及び作業場</t>
        </is>
      </c>
      <c r="C675" t="inlineStr">
        <is>
          <t>令和4年4月分</t>
        </is>
      </c>
      <c r="D675" t="n">
        <v>5090</v>
      </c>
      <c r="E675" t="n">
        <v>89000</v>
      </c>
      <c r="F675" t="n">
        <v>17.4852652259332</v>
      </c>
      <c r="G675" t="n">
        <v>57.80252960314341</v>
      </c>
    </row>
    <row r="676">
      <c r="A676" t="inlineStr">
        <is>
          <t>鉄骨造</t>
        </is>
      </c>
      <c r="B676" t="inlineStr">
        <is>
          <t>工場及び作業場</t>
        </is>
      </c>
      <c r="C676" t="inlineStr">
        <is>
          <t>令和4年5月分</t>
        </is>
      </c>
      <c r="D676" t="n">
        <v>3053</v>
      </c>
      <c r="E676" t="n">
        <v>75000</v>
      </c>
      <c r="F676" t="n">
        <v>24.56600065509335</v>
      </c>
      <c r="G676" t="n">
        <v>81.20991942351785</v>
      </c>
    </row>
    <row r="677">
      <c r="A677" t="inlineStr">
        <is>
          <t>鉄骨造</t>
        </is>
      </c>
      <c r="B677" t="inlineStr">
        <is>
          <t>工場及び作業場</t>
        </is>
      </c>
      <c r="C677" t="inlineStr">
        <is>
          <t>令和4年6月分</t>
        </is>
      </c>
      <c r="D677" t="n">
        <v>9472</v>
      </c>
      <c r="E677" t="n">
        <v>234166</v>
      </c>
      <c r="F677" t="n">
        <v>24.72191722972973</v>
      </c>
      <c r="G677" t="n">
        <v>81.72534611591216</v>
      </c>
    </row>
    <row r="678">
      <c r="A678" t="inlineStr">
        <is>
          <t>鉄骨造</t>
        </is>
      </c>
      <c r="B678" t="inlineStr">
        <is>
          <t>工場及び作業場</t>
        </is>
      </c>
      <c r="C678" t="inlineStr">
        <is>
          <t>令和4年7月分</t>
        </is>
      </c>
      <c r="D678" t="n">
        <v>2657</v>
      </c>
      <c r="E678" t="n">
        <v>57086</v>
      </c>
      <c r="F678" t="n">
        <v>21.48513360933384</v>
      </c>
      <c r="G678" t="n">
        <v>71.02523498694768</v>
      </c>
    </row>
    <row r="679">
      <c r="A679" t="inlineStr">
        <is>
          <t>鉄骨造</t>
        </is>
      </c>
      <c r="B679" t="inlineStr">
        <is>
          <t>工場及び作業場</t>
        </is>
      </c>
      <c r="C679" t="inlineStr">
        <is>
          <t>令和4年8月分</t>
        </is>
      </c>
      <c r="D679" t="n">
        <v>3425</v>
      </c>
      <c r="E679" t="n">
        <v>83000</v>
      </c>
      <c r="F679" t="n">
        <v>24.23357664233577</v>
      </c>
      <c r="G679" t="n">
        <v>80.11099706861313</v>
      </c>
    </row>
    <row r="680">
      <c r="A680" t="inlineStr">
        <is>
          <t>鉄骨造</t>
        </is>
      </c>
      <c r="B680" t="inlineStr">
        <is>
          <t>工場及び作業場</t>
        </is>
      </c>
      <c r="C680" t="inlineStr">
        <is>
          <t>令和4年9月分</t>
        </is>
      </c>
      <c r="D680" t="n">
        <v>10669</v>
      </c>
      <c r="E680" t="n">
        <v>334890</v>
      </c>
      <c r="F680" t="n">
        <v>31.38907114068797</v>
      </c>
      <c r="G680" t="n">
        <v>103.7655243075077</v>
      </c>
    </row>
    <row r="681">
      <c r="A681" t="inlineStr">
        <is>
          <t>鉄骨造</t>
        </is>
      </c>
      <c r="B681" t="inlineStr">
        <is>
          <t>工場及び作業場</t>
        </is>
      </c>
      <c r="C681" t="inlineStr">
        <is>
          <t>令和4年10月分</t>
        </is>
      </c>
      <c r="D681" t="n">
        <v>1121</v>
      </c>
      <c r="E681" t="n">
        <v>41217</v>
      </c>
      <c r="F681" t="n">
        <v>36.76806422836753</v>
      </c>
      <c r="G681" t="n">
        <v>121.5473196173417</v>
      </c>
    </row>
    <row r="682">
      <c r="A682" t="inlineStr">
        <is>
          <t>鉄骨造</t>
        </is>
      </c>
      <c r="B682" t="inlineStr">
        <is>
          <t>工場及び作業場</t>
        </is>
      </c>
      <c r="C682" t="inlineStr">
        <is>
          <t>令和4年11月分</t>
        </is>
      </c>
      <c r="D682" t="n">
        <v>14942</v>
      </c>
      <c r="E682" t="n">
        <v>307912</v>
      </c>
      <c r="F682" t="n">
        <v>20.60714763753179</v>
      </c>
      <c r="G682" t="n">
        <v>68.12280202579574</v>
      </c>
    </row>
    <row r="683">
      <c r="A683" t="inlineStr">
        <is>
          <t>鉄骨造</t>
        </is>
      </c>
      <c r="B683" t="inlineStr">
        <is>
          <t>工場及び作業場</t>
        </is>
      </c>
      <c r="C683" t="inlineStr">
        <is>
          <t>令和4年12月分</t>
        </is>
      </c>
      <c r="D683" t="n">
        <v>11731</v>
      </c>
      <c r="E683" t="n">
        <v>180500</v>
      </c>
      <c r="F683" t="n">
        <v>15.38658255903163</v>
      </c>
      <c r="G683" t="n">
        <v>50.86473567129827</v>
      </c>
    </row>
    <row r="684">
      <c r="A684" t="inlineStr">
        <is>
          <t>鉄骨造</t>
        </is>
      </c>
      <c r="B684" t="inlineStr">
        <is>
          <t>工場及び作業場</t>
        </is>
      </c>
      <c r="C684" t="inlineStr">
        <is>
          <t>令和5年1月分</t>
        </is>
      </c>
      <c r="D684" t="n">
        <v>6500</v>
      </c>
      <c r="E684" t="n">
        <v>182692</v>
      </c>
      <c r="F684" t="n">
        <v>28.10646153846154</v>
      </c>
      <c r="G684" t="n">
        <v>92.91392232969845</v>
      </c>
    </row>
    <row r="685">
      <c r="A685" t="inlineStr">
        <is>
          <t>鉄骨造</t>
        </is>
      </c>
      <c r="B685" t="inlineStr">
        <is>
          <t>工場及び作業場</t>
        </is>
      </c>
      <c r="C685" t="inlineStr">
        <is>
          <t>令和5年2月分</t>
        </is>
      </c>
      <c r="D685" t="n">
        <v>4156</v>
      </c>
      <c r="E685" t="n">
        <v>123740</v>
      </c>
      <c r="F685" t="n">
        <v>29.77382098171319</v>
      </c>
      <c r="G685" t="n">
        <v>98.42585436689124</v>
      </c>
    </row>
    <row r="686">
      <c r="A686" t="inlineStr">
        <is>
          <t>鉄骨造</t>
        </is>
      </c>
      <c r="B686" t="inlineStr">
        <is>
          <t>工場及び作業場</t>
        </is>
      </c>
      <c r="C686" t="inlineStr">
        <is>
          <t>令和5年3月分</t>
        </is>
      </c>
      <c r="D686" t="n">
        <v>2408</v>
      </c>
      <c r="E686" t="n">
        <v>95000</v>
      </c>
      <c r="F686" t="n">
        <v>39.45182724252491</v>
      </c>
      <c r="G686" t="n">
        <v>130.4192634551495</v>
      </c>
    </row>
    <row r="687">
      <c r="A687" t="inlineStr">
        <is>
          <t>鉄骨造</t>
        </is>
      </c>
      <c r="B687" t="inlineStr">
        <is>
          <t>工場及び作業場</t>
        </is>
      </c>
      <c r="C687" t="inlineStr">
        <is>
          <t>令和5年4月分</t>
        </is>
      </c>
      <c r="D687" t="n">
        <v>6365</v>
      </c>
      <c r="E687" t="n">
        <v>154430</v>
      </c>
      <c r="F687" t="n">
        <v>24.2623723487824</v>
      </c>
      <c r="G687" t="n">
        <v>80.20618948650431</v>
      </c>
    </row>
    <row r="688">
      <c r="A688" t="inlineStr">
        <is>
          <t>鉄骨造</t>
        </is>
      </c>
      <c r="B688" t="inlineStr">
        <is>
          <t>工場及び作業場</t>
        </is>
      </c>
      <c r="C688" t="inlineStr">
        <is>
          <t>令和5年5月分</t>
        </is>
      </c>
      <c r="D688" t="n">
        <v>2986</v>
      </c>
      <c r="E688" t="n">
        <v>74000</v>
      </c>
      <c r="F688" t="n">
        <v>24.78231748158071</v>
      </c>
      <c r="G688" t="n">
        <v>81.92501636972538</v>
      </c>
    </row>
    <row r="689">
      <c r="A689" t="inlineStr">
        <is>
          <t>鉄骨造</t>
        </is>
      </c>
      <c r="B689" t="inlineStr">
        <is>
          <t>工場及び作業場</t>
        </is>
      </c>
      <c r="C689" t="inlineStr">
        <is>
          <t>令和5年6月分</t>
        </is>
      </c>
      <c r="D689" t="n">
        <v>12638</v>
      </c>
      <c r="E689" t="n">
        <v>353021</v>
      </c>
      <c r="F689" t="n">
        <v>27.93329640765944</v>
      </c>
      <c r="G689" t="n">
        <v>92.34147561699002</v>
      </c>
    </row>
    <row r="690">
      <c r="A690" t="inlineStr">
        <is>
          <t>鉄骨造</t>
        </is>
      </c>
      <c r="B690" t="inlineStr">
        <is>
          <t>工場及び作業場</t>
        </is>
      </c>
      <c r="C690" t="inlineStr">
        <is>
          <t>令和5年7月分</t>
        </is>
      </c>
      <c r="D690" t="n">
        <v>960</v>
      </c>
      <c r="E690" t="n">
        <v>21000</v>
      </c>
      <c r="F690" t="n">
        <v>21.875</v>
      </c>
      <c r="G690" t="n">
        <v>72.3140495</v>
      </c>
    </row>
    <row r="691">
      <c r="A691" t="inlineStr">
        <is>
          <t>鉄骨造</t>
        </is>
      </c>
      <c r="B691" t="inlineStr">
        <is>
          <t>工場及び作業場</t>
        </is>
      </c>
      <c r="C691" t="inlineStr">
        <is>
          <t>令和5年8月分</t>
        </is>
      </c>
      <c r="D691" t="n">
        <v>0</v>
      </c>
      <c r="E691" t="n">
        <v>0</v>
      </c>
      <c r="F691" t="e">
        <v>#DIV/0!</v>
      </c>
      <c r="G691" t="e">
        <v>#DIV/0!</v>
      </c>
    </row>
    <row r="692">
      <c r="A692" t="inlineStr">
        <is>
          <t>鉄骨造</t>
        </is>
      </c>
      <c r="B692" t="inlineStr">
        <is>
          <t>工場及び作業場</t>
        </is>
      </c>
      <c r="C692" t="inlineStr">
        <is>
          <t>令和5年9月分</t>
        </is>
      </c>
      <c r="D692" t="n">
        <v>0</v>
      </c>
      <c r="E692" t="n">
        <v>0</v>
      </c>
      <c r="F692" t="e">
        <v>#DIV/0!</v>
      </c>
      <c r="G692" t="e">
        <v>#DIV/0!</v>
      </c>
    </row>
    <row r="693">
      <c r="A693" t="inlineStr">
        <is>
          <t>鉄骨造</t>
        </is>
      </c>
      <c r="B693" t="inlineStr">
        <is>
          <t>工場及び作業場</t>
        </is>
      </c>
      <c r="C693" t="inlineStr">
        <is>
          <t>令和5年10月分</t>
        </is>
      </c>
      <c r="D693" t="n">
        <v>17656</v>
      </c>
      <c r="E693" t="n">
        <v>473265</v>
      </c>
      <c r="F693" t="n">
        <v>26.80476891708201</v>
      </c>
      <c r="G693" t="n">
        <v>88.61080623112822</v>
      </c>
    </row>
    <row r="694">
      <c r="A694" t="inlineStr">
        <is>
          <t>鉄骨造</t>
        </is>
      </c>
      <c r="B694" t="inlineStr">
        <is>
          <t>工場及び作業場</t>
        </is>
      </c>
      <c r="C694" t="inlineStr">
        <is>
          <t>令和5年11月分</t>
        </is>
      </c>
      <c r="D694" t="n">
        <v>2100</v>
      </c>
      <c r="E694" t="n">
        <v>59690</v>
      </c>
      <c r="F694" t="n">
        <v>28.42380952380952</v>
      </c>
      <c r="G694" t="n">
        <v>93.96300657752381</v>
      </c>
    </row>
    <row r="695">
      <c r="A695" t="inlineStr">
        <is>
          <t>鉄骨造</t>
        </is>
      </c>
      <c r="B695" t="inlineStr">
        <is>
          <t>工場及び作業場</t>
        </is>
      </c>
      <c r="C695" t="inlineStr">
        <is>
          <t>令和5年12月分</t>
        </is>
      </c>
      <c r="D695" t="n">
        <v>0</v>
      </c>
      <c r="E695" t="n">
        <v>0</v>
      </c>
      <c r="F695" t="e">
        <v>#DIV/0!</v>
      </c>
      <c r="G695" t="e">
        <v>#DIV/0!</v>
      </c>
    </row>
    <row r="696">
      <c r="A696" t="inlineStr">
        <is>
          <t>鉄骨造</t>
        </is>
      </c>
      <c r="B696" t="inlineStr">
        <is>
          <t>工場及び作業場</t>
        </is>
      </c>
      <c r="C696" t="inlineStr">
        <is>
          <t>令和6年1月分</t>
        </is>
      </c>
      <c r="D696" t="n">
        <v>3464</v>
      </c>
      <c r="E696" t="n">
        <v>241550</v>
      </c>
      <c r="F696" t="n">
        <v>69.73152424942263</v>
      </c>
      <c r="G696" t="n">
        <v>230.5174352586605</v>
      </c>
    </row>
    <row r="697">
      <c r="A697" t="inlineStr">
        <is>
          <t>鉄骨造</t>
        </is>
      </c>
      <c r="B697" t="inlineStr">
        <is>
          <t>工場及び作業場</t>
        </is>
      </c>
      <c r="C697" t="inlineStr">
        <is>
          <t>令和6年2月分</t>
        </is>
      </c>
      <c r="D697" t="n">
        <v>4299</v>
      </c>
      <c r="E697" t="n">
        <v>135000</v>
      </c>
      <c r="F697" t="n">
        <v>31.4026517794836</v>
      </c>
      <c r="G697" t="n">
        <v>103.8104189811584</v>
      </c>
    </row>
    <row r="698">
      <c r="A698" t="inlineStr">
        <is>
          <t>鉄骨造</t>
        </is>
      </c>
      <c r="B698" t="inlineStr">
        <is>
          <t>工場及び作業場</t>
        </is>
      </c>
      <c r="C698" t="inlineStr">
        <is>
          <t>令和6年3月分</t>
        </is>
      </c>
      <c r="D698" t="n">
        <v>389</v>
      </c>
      <c r="E698" t="n">
        <v>5000</v>
      </c>
      <c r="F698" t="n">
        <v>12.85347043701799</v>
      </c>
      <c r="G698" t="n">
        <v>42.49081131105398</v>
      </c>
    </row>
    <row r="699">
      <c r="A699" t="inlineStr">
        <is>
          <t>鉄骨造</t>
        </is>
      </c>
      <c r="B699" t="inlineStr">
        <is>
          <t>工場及び作業場</t>
        </is>
      </c>
      <c r="C699" t="inlineStr">
        <is>
          <t>令和6年4月分</t>
        </is>
      </c>
      <c r="D699" t="n">
        <v>0</v>
      </c>
      <c r="E699" t="n">
        <v>0</v>
      </c>
      <c r="F699" t="e">
        <v>#DIV/0!</v>
      </c>
      <c r="G699" t="e">
        <v>#DIV/0!</v>
      </c>
    </row>
    <row r="700">
      <c r="A700" t="inlineStr">
        <is>
          <t>鉄骨造</t>
        </is>
      </c>
      <c r="B700" t="inlineStr">
        <is>
          <t>工場及び作業場</t>
        </is>
      </c>
      <c r="C700" t="inlineStr">
        <is>
          <t>令和6年5月分</t>
        </is>
      </c>
      <c r="D700" t="n">
        <v>12724</v>
      </c>
      <c r="E700" t="n">
        <v>578400</v>
      </c>
      <c r="F700" t="n">
        <v>45.45740333228544</v>
      </c>
      <c r="G700" t="n">
        <v>150.2724075297076</v>
      </c>
    </row>
    <row r="701">
      <c r="A701" t="inlineStr">
        <is>
          <t>鉄骨造</t>
        </is>
      </c>
      <c r="B701" t="inlineStr">
        <is>
          <t>工場及び作業場</t>
        </is>
      </c>
      <c r="C701" t="inlineStr">
        <is>
          <t>令和6年6月分</t>
        </is>
      </c>
      <c r="D701" t="n">
        <v>26759</v>
      </c>
      <c r="E701" t="n">
        <v>621600</v>
      </c>
      <c r="F701" t="n">
        <v>23.22956762210845</v>
      </c>
      <c r="G701" t="n">
        <v>76.79195898919988</v>
      </c>
    </row>
    <row r="702">
      <c r="A702" t="inlineStr">
        <is>
          <t>鉄骨造</t>
        </is>
      </c>
      <c r="B702" t="inlineStr">
        <is>
          <t>工場及び作業場</t>
        </is>
      </c>
      <c r="C702" t="inlineStr">
        <is>
          <t>令和6年7月分</t>
        </is>
      </c>
      <c r="D702" t="n">
        <v>371</v>
      </c>
      <c r="E702" t="n">
        <v>8800</v>
      </c>
      <c r="F702" t="n">
        <v>23.71967654986523</v>
      </c>
      <c r="G702" t="n">
        <v>78.41215378975741</v>
      </c>
    </row>
    <row r="703">
      <c r="A703" t="inlineStr">
        <is>
          <t>鉄骨造</t>
        </is>
      </c>
      <c r="B703" t="inlineStr">
        <is>
          <t>工場及び作業場</t>
        </is>
      </c>
      <c r="C703" t="inlineStr">
        <is>
          <t>令和6年8月分</t>
        </is>
      </c>
      <c r="D703" t="n">
        <v>44510</v>
      </c>
      <c r="E703" t="n">
        <v>1725000</v>
      </c>
      <c r="F703" t="n">
        <v>38.75533587957762</v>
      </c>
      <c r="G703" t="n">
        <v>128.1168126713098</v>
      </c>
    </row>
    <row r="704">
      <c r="A704" t="inlineStr">
        <is>
          <t>鉄骨造</t>
        </is>
      </c>
      <c r="B704" t="inlineStr">
        <is>
          <t>工場及び作業場</t>
        </is>
      </c>
      <c r="C704" t="inlineStr">
        <is>
          <t>令和6年9月分</t>
        </is>
      </c>
      <c r="D704" t="n">
        <v>2277</v>
      </c>
      <c r="E704" t="n">
        <v>56630</v>
      </c>
      <c r="F704" t="n">
        <v>24.87044356609574</v>
      </c>
      <c r="G704" t="n">
        <v>82.21634226859904</v>
      </c>
    </row>
    <row r="705">
      <c r="A705" t="inlineStr">
        <is>
          <t>鉄骨造</t>
        </is>
      </c>
      <c r="B705" t="inlineStr">
        <is>
          <t>工場及び作業場</t>
        </is>
      </c>
      <c r="C705" t="inlineStr">
        <is>
          <t>令和6年10月分</t>
        </is>
      </c>
      <c r="D705" t="n">
        <v>30888</v>
      </c>
      <c r="E705" t="n">
        <v>1613500</v>
      </c>
      <c r="F705" t="n">
        <v>52.23711473711474</v>
      </c>
      <c r="G705" t="n">
        <v>172.6846766096866</v>
      </c>
    </row>
    <row r="706">
      <c r="A706" t="inlineStr">
        <is>
          <t>鉄骨造</t>
        </is>
      </c>
      <c r="B706" t="inlineStr">
        <is>
          <t>工場及び作業場</t>
        </is>
      </c>
      <c r="C706" t="inlineStr">
        <is>
          <t>令和6年11月分</t>
        </is>
      </c>
      <c r="D706" t="n">
        <v>79</v>
      </c>
      <c r="E706" t="n">
        <v>1200</v>
      </c>
      <c r="F706" t="n">
        <v>15.18987341772152</v>
      </c>
      <c r="G706" t="n">
        <v>50.21445751898734</v>
      </c>
    </row>
    <row r="707">
      <c r="A707" t="inlineStr">
        <is>
          <t>鉄骨造</t>
        </is>
      </c>
      <c r="B707" t="inlineStr">
        <is>
          <t>工場及び作業場</t>
        </is>
      </c>
      <c r="C707" t="inlineStr">
        <is>
          <t>令和6年12月分</t>
        </is>
      </c>
      <c r="D707" t="n">
        <v>21957</v>
      </c>
      <c r="E707" t="n">
        <v>578500</v>
      </c>
      <c r="F707" t="n">
        <v>26.34695085849615</v>
      </c>
      <c r="G707" t="n">
        <v>87.0973581053878</v>
      </c>
    </row>
    <row r="708">
      <c r="A708" t="inlineStr">
        <is>
          <t>鉄骨造</t>
        </is>
      </c>
      <c r="B708" t="inlineStr">
        <is>
          <t>工場及び作業場</t>
        </is>
      </c>
      <c r="C708" t="inlineStr">
        <is>
          <t>令和7年1月分</t>
        </is>
      </c>
      <c r="D708" t="n">
        <v>19617</v>
      </c>
      <c r="E708" t="n">
        <v>412524.61606</v>
      </c>
      <c r="F708" t="n">
        <v>21.02893490645868</v>
      </c>
      <c r="G708" t="n">
        <v>69.5171401032197</v>
      </c>
    </row>
    <row r="709">
      <c r="A709" t="inlineStr">
        <is>
          <t>鉄骨造</t>
        </is>
      </c>
      <c r="B709" t="inlineStr">
        <is>
          <t>工場及び作業場</t>
        </is>
      </c>
      <c r="C709" t="inlineStr">
        <is>
          <t>令和7年2月分</t>
        </is>
      </c>
      <c r="D709" t="n">
        <v>2841</v>
      </c>
      <c r="E709" t="n">
        <v>56342.69614</v>
      </c>
      <c r="F709" t="n">
        <v>19.83199441745864</v>
      </c>
      <c r="G709" t="n">
        <v>65.56031204515784</v>
      </c>
    </row>
    <row r="710">
      <c r="A710" t="inlineStr">
        <is>
          <t>鉄骨造</t>
        </is>
      </c>
      <c r="B710" t="inlineStr">
        <is>
          <t>工場及び作業場</t>
        </is>
      </c>
      <c r="C710" t="inlineStr">
        <is>
          <t>令和7年3月分</t>
        </is>
      </c>
      <c r="D710" t="n">
        <v>22090</v>
      </c>
      <c r="E710" t="n">
        <v>1314826.58788</v>
      </c>
      <c r="F710" t="n">
        <v>59.52134847804437</v>
      </c>
      <c r="G710" t="n">
        <v>196.7647881210537</v>
      </c>
    </row>
    <row r="711">
      <c r="A711" t="inlineStr">
        <is>
          <t>鉄骨造</t>
        </is>
      </c>
      <c r="B711" t="inlineStr">
        <is>
          <t>工場及び作業場</t>
        </is>
      </c>
      <c r="C711" t="inlineStr">
        <is>
          <t>令和7年4月分</t>
        </is>
      </c>
      <c r="D711" t="n">
        <v>26741</v>
      </c>
      <c r="E711" t="n">
        <v>675396.94311</v>
      </c>
      <c r="F711" t="n">
        <v>25.25698153060843</v>
      </c>
      <c r="G711" t="n">
        <v>83.49415372000017</v>
      </c>
    </row>
    <row r="712">
      <c r="A712" t="inlineStr">
        <is>
          <t>鉄骨造</t>
        </is>
      </c>
      <c r="B712" t="inlineStr">
        <is>
          <t>工場及び作業場</t>
        </is>
      </c>
      <c r="C712" t="inlineStr">
        <is>
          <t>令和7年5月分</t>
        </is>
      </c>
      <c r="D712" t="n">
        <v>141201</v>
      </c>
      <c r="E712" t="n">
        <v>7526709.26544</v>
      </c>
      <c r="F712" t="n">
        <v>53.30492889880384</v>
      </c>
      <c r="G712" t="n">
        <v>176.2146407763237</v>
      </c>
    </row>
    <row r="713">
      <c r="A713" t="inlineStr">
        <is>
          <t>鉄骨造</t>
        </is>
      </c>
      <c r="B713" t="inlineStr">
        <is>
          <t>工場及び作業場</t>
        </is>
      </c>
      <c r="C713" t="inlineStr">
        <is>
          <t>令和7年6月分</t>
        </is>
      </c>
      <c r="D713" t="n">
        <v>72046</v>
      </c>
      <c r="E713" t="n">
        <v>4691279.72042</v>
      </c>
      <c r="F713" t="n">
        <v>65.11506149432307</v>
      </c>
      <c r="G713" t="n">
        <v>215.2564013758182</v>
      </c>
    </row>
    <row r="714">
      <c r="A714" t="inlineStr">
        <is>
          <t>鉄骨造</t>
        </is>
      </c>
      <c r="B714" t="inlineStr">
        <is>
          <t>工場及び作業場</t>
        </is>
      </c>
      <c r="C714" t="inlineStr">
        <is>
          <t>令和7年7月分</t>
        </is>
      </c>
      <c r="D714" t="n">
        <v>52398</v>
      </c>
      <c r="E714" t="n">
        <v>1902624.91516</v>
      </c>
      <c r="F714" t="n">
        <v>36.31102170235506</v>
      </c>
      <c r="G714" t="n">
        <v>120.0364352356424</v>
      </c>
    </row>
    <row r="715">
      <c r="A715" t="inlineStr">
        <is>
          <t>鉄骨造</t>
        </is>
      </c>
      <c r="B715" t="inlineStr">
        <is>
          <t>工場及び作業場</t>
        </is>
      </c>
      <c r="C715" t="inlineStr">
        <is>
          <t>令和7年8月分</t>
        </is>
      </c>
      <c r="D715" t="n">
        <v>50780</v>
      </c>
      <c r="E715" t="n">
        <v>2542173.09602</v>
      </c>
      <c r="F715" t="n">
        <v>50.0624871213076</v>
      </c>
      <c r="G715" t="n">
        <v>165.4958249958103</v>
      </c>
    </row>
    <row r="716">
      <c r="A716" t="inlineStr">
        <is>
          <t>鉄骨造</t>
        </is>
      </c>
      <c r="B716" t="inlineStr">
        <is>
          <t>工場及び作業場</t>
        </is>
      </c>
      <c r="C716" t="inlineStr">
        <is>
          <t>令和7年8月分</t>
        </is>
      </c>
      <c r="D716" t="n">
        <v>35549</v>
      </c>
      <c r="E716" t="n">
        <v>1579652.9805</v>
      </c>
      <c r="F716" t="n">
        <v>44.43593295170047</v>
      </c>
      <c r="G716" t="n">
        <v>146.8956459450491</v>
      </c>
    </row>
    <row r="717">
      <c r="A717" t="inlineStr">
        <is>
          <t>鉄骨造</t>
        </is>
      </c>
      <c r="B717" t="inlineStr">
        <is>
          <t>工場及び作業場</t>
        </is>
      </c>
      <c r="C717" t="inlineStr">
        <is>
          <t>令和7年8月分</t>
        </is>
      </c>
      <c r="D717" t="n">
        <v>14615</v>
      </c>
      <c r="E717" t="n">
        <v>650728.76853</v>
      </c>
      <c r="F717" t="n">
        <v>44.52471902360588</v>
      </c>
      <c r="G717" t="n">
        <v>147.1891536204172</v>
      </c>
    </row>
    <row r="718">
      <c r="A718" t="inlineStr">
        <is>
          <t>鉄骨造</t>
        </is>
      </c>
      <c r="B718" t="inlineStr">
        <is>
          <t>工場及び作業場</t>
        </is>
      </c>
      <c r="C718" t="inlineStr">
        <is>
          <t>令和7年8月分</t>
        </is>
      </c>
      <c r="D718" t="n">
        <v>11527</v>
      </c>
      <c r="E718" t="n">
        <v>365412</v>
      </c>
      <c r="F718" t="n">
        <v>31.70052919233105</v>
      </c>
      <c r="G718" t="n">
        <v>104.7951377001336</v>
      </c>
    </row>
    <row r="719">
      <c r="A719" t="inlineStr">
        <is>
          <t>鉄骨造</t>
        </is>
      </c>
      <c r="B719" t="inlineStr">
        <is>
          <t>倉庫</t>
        </is>
      </c>
      <c r="C719" t="inlineStr">
        <is>
          <t>2015（基準）</t>
        </is>
      </c>
      <c r="D719" t="n">
        <v>153240</v>
      </c>
      <c r="E719" t="n">
        <v>1689704</v>
      </c>
      <c r="F719" t="n">
        <v>11.02652049073349</v>
      </c>
      <c r="G719" t="n">
        <v>36.45130736364187</v>
      </c>
    </row>
    <row r="720">
      <c r="A720" t="inlineStr">
        <is>
          <t>鉄骨造</t>
        </is>
      </c>
      <c r="B720" t="inlineStr">
        <is>
          <t>倉庫</t>
        </is>
      </c>
      <c r="C720" t="inlineStr">
        <is>
          <t>令和4年1月分</t>
        </is>
      </c>
      <c r="D720" t="n">
        <v>537</v>
      </c>
      <c r="E720" t="n">
        <v>11100</v>
      </c>
      <c r="F720" t="n">
        <v>20.67039106145251</v>
      </c>
      <c r="G720" t="n">
        <v>68.33187119553072</v>
      </c>
    </row>
    <row r="721">
      <c r="A721" t="inlineStr">
        <is>
          <t>鉄骨造</t>
        </is>
      </c>
      <c r="B721" t="inlineStr">
        <is>
          <t>倉庫</t>
        </is>
      </c>
      <c r="C721" t="inlineStr">
        <is>
          <t>令和4年2月分</t>
        </is>
      </c>
      <c r="D721" t="n">
        <v>15403</v>
      </c>
      <c r="E721" t="n">
        <v>180000</v>
      </c>
      <c r="F721" t="n">
        <v>11.6860351879504</v>
      </c>
      <c r="G721" t="n">
        <v>38.63152123612283</v>
      </c>
    </row>
    <row r="722">
      <c r="A722" t="inlineStr">
        <is>
          <t>鉄骨造</t>
        </is>
      </c>
      <c r="B722" t="inlineStr">
        <is>
          <t>倉庫</t>
        </is>
      </c>
      <c r="C722" t="inlineStr">
        <is>
          <t>令和4年3月分</t>
        </is>
      </c>
      <c r="D722" t="n">
        <v>1587</v>
      </c>
      <c r="E722" t="n">
        <v>13250</v>
      </c>
      <c r="F722" t="n">
        <v>8.349086326402016</v>
      </c>
      <c r="G722" t="n">
        <v>27.60028534341525</v>
      </c>
    </row>
    <row r="723">
      <c r="A723" t="inlineStr">
        <is>
          <t>鉄骨造</t>
        </is>
      </c>
      <c r="B723" t="inlineStr">
        <is>
          <t>倉庫</t>
        </is>
      </c>
      <c r="C723" t="inlineStr">
        <is>
          <t>令和4年4月分</t>
        </is>
      </c>
      <c r="D723" t="n">
        <v>13666</v>
      </c>
      <c r="E723" t="n">
        <v>225900</v>
      </c>
      <c r="F723" t="n">
        <v>16.53007463778721</v>
      </c>
      <c r="G723" t="n">
        <v>54.64487477008635</v>
      </c>
    </row>
    <row r="724">
      <c r="A724" t="inlineStr">
        <is>
          <t>鉄骨造</t>
        </is>
      </c>
      <c r="B724" t="inlineStr">
        <is>
          <t>倉庫</t>
        </is>
      </c>
      <c r="C724" t="inlineStr">
        <is>
          <t>令和4年5月分</t>
        </is>
      </c>
      <c r="D724" t="n">
        <v>56375</v>
      </c>
      <c r="E724" t="n">
        <v>629069</v>
      </c>
      <c r="F724" t="n">
        <v>11.15865188470067</v>
      </c>
      <c r="G724" t="n">
        <v>36.88810535970342</v>
      </c>
    </row>
    <row r="725">
      <c r="A725" t="inlineStr">
        <is>
          <t>鉄骨造</t>
        </is>
      </c>
      <c r="B725" t="inlineStr">
        <is>
          <t>倉庫</t>
        </is>
      </c>
      <c r="C725" t="inlineStr">
        <is>
          <t>令和4年6月分</t>
        </is>
      </c>
      <c r="D725" t="n">
        <v>6809</v>
      </c>
      <c r="E725" t="n">
        <v>120730</v>
      </c>
      <c r="F725" t="n">
        <v>17.73094433837568</v>
      </c>
      <c r="G725" t="n">
        <v>58.61469195735056</v>
      </c>
    </row>
    <row r="726">
      <c r="A726" t="inlineStr">
        <is>
          <t>鉄骨造</t>
        </is>
      </c>
      <c r="B726" t="inlineStr">
        <is>
          <t>倉庫</t>
        </is>
      </c>
      <c r="C726" t="inlineStr">
        <is>
          <t>令和4年7月分</t>
        </is>
      </c>
      <c r="D726" t="n">
        <v>1429</v>
      </c>
      <c r="E726" t="n">
        <v>22150</v>
      </c>
      <c r="F726" t="n">
        <v>15.50034989503149</v>
      </c>
      <c r="G726" t="n">
        <v>51.24082603778866</v>
      </c>
    </row>
    <row r="727">
      <c r="A727" t="inlineStr">
        <is>
          <t>鉄骨造</t>
        </is>
      </c>
      <c r="B727" t="inlineStr">
        <is>
          <t>倉庫</t>
        </is>
      </c>
      <c r="C727" t="inlineStr">
        <is>
          <t>令和4年8月分</t>
        </is>
      </c>
      <c r="D727" t="n">
        <v>2131</v>
      </c>
      <c r="E727" t="n">
        <v>29830</v>
      </c>
      <c r="F727" t="n">
        <v>13.99812294697325</v>
      </c>
      <c r="G727" t="n">
        <v>46.27478654603473</v>
      </c>
    </row>
    <row r="728">
      <c r="A728" t="inlineStr">
        <is>
          <t>鉄骨造</t>
        </is>
      </c>
      <c r="B728" t="inlineStr">
        <is>
          <t>倉庫</t>
        </is>
      </c>
      <c r="C728" t="inlineStr">
        <is>
          <t>令和4年9月分</t>
        </is>
      </c>
      <c r="D728" t="n">
        <v>89088</v>
      </c>
      <c r="E728" t="n">
        <v>1097389</v>
      </c>
      <c r="F728" t="n">
        <v>12.31803385416667</v>
      </c>
      <c r="G728" t="n">
        <v>40.72077302276041</v>
      </c>
    </row>
    <row r="729">
      <c r="A729" t="inlineStr">
        <is>
          <t>鉄骨造</t>
        </is>
      </c>
      <c r="B729" t="inlineStr">
        <is>
          <t>倉庫</t>
        </is>
      </c>
      <c r="C729" t="inlineStr">
        <is>
          <t>令和4年10月分</t>
        </is>
      </c>
      <c r="D729" t="n">
        <v>808</v>
      </c>
      <c r="E729" t="n">
        <v>12000</v>
      </c>
      <c r="F729" t="n">
        <v>14.85148514851485</v>
      </c>
      <c r="G729" t="n">
        <v>49.09581861386139</v>
      </c>
    </row>
    <row r="730">
      <c r="A730" t="inlineStr">
        <is>
          <t>鉄骨造</t>
        </is>
      </c>
      <c r="B730" t="inlineStr">
        <is>
          <t>倉庫</t>
        </is>
      </c>
      <c r="C730" t="inlineStr">
        <is>
          <t>令和4年11月分</t>
        </is>
      </c>
      <c r="D730" t="n">
        <v>3650</v>
      </c>
      <c r="E730" t="n">
        <v>75000</v>
      </c>
      <c r="F730" t="n">
        <v>20.54794520547945</v>
      </c>
      <c r="G730" t="n">
        <v>67.92709150684931</v>
      </c>
    </row>
    <row r="731">
      <c r="A731" t="inlineStr">
        <is>
          <t>鉄骨造</t>
        </is>
      </c>
      <c r="B731" t="inlineStr">
        <is>
          <t>倉庫</t>
        </is>
      </c>
      <c r="C731" t="inlineStr">
        <is>
          <t>令和4年12月分</t>
        </is>
      </c>
      <c r="D731" t="n">
        <v>993</v>
      </c>
      <c r="E731" t="n">
        <v>16700</v>
      </c>
      <c r="F731" t="n">
        <v>16.81772406847935</v>
      </c>
      <c r="G731" t="n">
        <v>55.59578197784491</v>
      </c>
    </row>
    <row r="732">
      <c r="A732" t="inlineStr">
        <is>
          <t>鉄骨造</t>
        </is>
      </c>
      <c r="B732" t="inlineStr">
        <is>
          <t>倉庫</t>
        </is>
      </c>
      <c r="C732" t="inlineStr">
        <is>
          <t>令和5年1月分</t>
        </is>
      </c>
      <c r="D732" t="n">
        <v>69088</v>
      </c>
      <c r="E732" t="n">
        <v>1114520</v>
      </c>
      <c r="F732" t="n">
        <v>16.13188976377953</v>
      </c>
      <c r="G732" t="n">
        <v>53.32856113858267</v>
      </c>
    </row>
    <row r="733">
      <c r="A733" t="inlineStr">
        <is>
          <t>鉄骨造</t>
        </is>
      </c>
      <c r="B733" t="inlineStr">
        <is>
          <t>倉庫</t>
        </is>
      </c>
      <c r="C733" t="inlineStr">
        <is>
          <t>令和5年2月分</t>
        </is>
      </c>
      <c r="D733" t="n">
        <v>214</v>
      </c>
      <c r="E733" t="n">
        <v>4500</v>
      </c>
      <c r="F733" t="n">
        <v>21.02803738317757</v>
      </c>
      <c r="G733" t="n">
        <v>69.51417308411214</v>
      </c>
    </row>
    <row r="734">
      <c r="A734" t="inlineStr">
        <is>
          <t>鉄骨造</t>
        </is>
      </c>
      <c r="B734" t="inlineStr">
        <is>
          <t>倉庫</t>
        </is>
      </c>
      <c r="C734" t="inlineStr">
        <is>
          <t>令和5年3月分</t>
        </is>
      </c>
      <c r="D734" t="n">
        <v>18689</v>
      </c>
      <c r="E734" t="n">
        <v>250000</v>
      </c>
      <c r="F734" t="n">
        <v>13.37685269409813</v>
      </c>
      <c r="G734" t="n">
        <v>44.22100058858152</v>
      </c>
    </row>
    <row r="735">
      <c r="A735" t="inlineStr">
        <is>
          <t>鉄骨造</t>
        </is>
      </c>
      <c r="B735" t="inlineStr">
        <is>
          <t>倉庫</t>
        </is>
      </c>
      <c r="C735" t="inlineStr">
        <is>
          <t>令和5年4月分</t>
        </is>
      </c>
      <c r="D735" t="n">
        <v>15037</v>
      </c>
      <c r="E735" t="n">
        <v>186920</v>
      </c>
      <c r="F735" t="n">
        <v>12.43067101150495</v>
      </c>
      <c r="G735" t="n">
        <v>41.09312726144842</v>
      </c>
    </row>
    <row r="736">
      <c r="A736" t="inlineStr">
        <is>
          <t>鉄骨造</t>
        </is>
      </c>
      <c r="B736" t="inlineStr">
        <is>
          <t>倉庫</t>
        </is>
      </c>
      <c r="C736" t="inlineStr">
        <is>
          <t>令和5年5月分</t>
        </is>
      </c>
      <c r="D736" t="n">
        <v>203</v>
      </c>
      <c r="E736" t="n">
        <v>6000</v>
      </c>
      <c r="F736" t="n">
        <v>29.55665024630542</v>
      </c>
      <c r="G736" t="n">
        <v>97.7079345812808</v>
      </c>
    </row>
    <row r="737">
      <c r="A737" t="inlineStr">
        <is>
          <t>鉄骨造</t>
        </is>
      </c>
      <c r="B737" t="inlineStr">
        <is>
          <t>倉庫</t>
        </is>
      </c>
      <c r="C737" t="inlineStr">
        <is>
          <t>令和5年6月分</t>
        </is>
      </c>
      <c r="D737" t="n">
        <v>2393</v>
      </c>
      <c r="E737" t="n">
        <v>69081</v>
      </c>
      <c r="F737" t="n">
        <v>28.86794818219808</v>
      </c>
      <c r="G737" t="n">
        <v>95.43123354564145</v>
      </c>
    </row>
    <row r="738">
      <c r="A738" t="inlineStr">
        <is>
          <t>鉄骨造</t>
        </is>
      </c>
      <c r="B738" t="inlineStr">
        <is>
          <t>倉庫</t>
        </is>
      </c>
      <c r="C738" t="inlineStr">
        <is>
          <t>令和5年7月分</t>
        </is>
      </c>
      <c r="D738" t="n">
        <v>20604</v>
      </c>
      <c r="E738" t="n">
        <v>287300</v>
      </c>
      <c r="F738" t="n">
        <v>13.94389438943894</v>
      </c>
      <c r="G738" t="n">
        <v>46.09551858745874</v>
      </c>
    </row>
    <row r="739">
      <c r="A739" t="inlineStr">
        <is>
          <t>鉄骨造</t>
        </is>
      </c>
      <c r="B739" t="inlineStr">
        <is>
          <t>倉庫</t>
        </is>
      </c>
      <c r="C739" t="inlineStr">
        <is>
          <t>令和5年8月分</t>
        </is>
      </c>
      <c r="D739" t="n">
        <v>0</v>
      </c>
      <c r="E739" t="n">
        <v>0</v>
      </c>
      <c r="F739" t="e">
        <v>#DIV/0!</v>
      </c>
      <c r="G739" t="e">
        <v>#DIV/0!</v>
      </c>
    </row>
    <row r="740">
      <c r="A740" t="inlineStr">
        <is>
          <t>鉄骨造</t>
        </is>
      </c>
      <c r="B740" t="inlineStr">
        <is>
          <t>倉庫</t>
        </is>
      </c>
      <c r="C740" t="inlineStr">
        <is>
          <t>令和5年9月分</t>
        </is>
      </c>
      <c r="D740" t="n">
        <v>1286</v>
      </c>
      <c r="E740" t="n">
        <v>21850</v>
      </c>
      <c r="F740" t="n">
        <v>16.99066874027994</v>
      </c>
      <c r="G740" t="n">
        <v>56.16749990046656</v>
      </c>
    </row>
    <row r="741">
      <c r="A741" t="inlineStr">
        <is>
          <t>鉄骨造</t>
        </is>
      </c>
      <c r="B741" t="inlineStr">
        <is>
          <t>倉庫</t>
        </is>
      </c>
      <c r="C741" t="inlineStr">
        <is>
          <t>令和5年10月分</t>
        </is>
      </c>
      <c r="D741" t="n">
        <v>4443</v>
      </c>
      <c r="E741" t="n">
        <v>78200</v>
      </c>
      <c r="F741" t="n">
        <v>17.60072023407607</v>
      </c>
      <c r="G741" t="n">
        <v>58.1841990510916</v>
      </c>
    </row>
    <row r="742">
      <c r="A742" t="inlineStr">
        <is>
          <t>鉄骨造</t>
        </is>
      </c>
      <c r="B742" t="inlineStr">
        <is>
          <t>倉庫</t>
        </is>
      </c>
      <c r="C742" t="inlineStr">
        <is>
          <t>令和5年11月分</t>
        </is>
      </c>
      <c r="D742" t="n">
        <v>22711</v>
      </c>
      <c r="E742" t="n">
        <v>427380</v>
      </c>
      <c r="F742" t="n">
        <v>18.81819382677998</v>
      </c>
      <c r="G742" t="n">
        <v>62.2089051378451</v>
      </c>
    </row>
    <row r="743">
      <c r="A743" t="inlineStr">
        <is>
          <t>鉄骨造</t>
        </is>
      </c>
      <c r="B743" t="inlineStr">
        <is>
          <t>倉庫</t>
        </is>
      </c>
      <c r="C743" t="inlineStr">
        <is>
          <t>令和5年12月分</t>
        </is>
      </c>
      <c r="D743" t="n">
        <v>2653</v>
      </c>
      <c r="E743" t="n">
        <v>100500</v>
      </c>
      <c r="F743" t="n">
        <v>37.88164342254052</v>
      </c>
      <c r="G743" t="n">
        <v>125.2285731473803</v>
      </c>
    </row>
    <row r="744">
      <c r="A744" t="inlineStr">
        <is>
          <t>鉄骨造</t>
        </is>
      </c>
      <c r="B744" t="inlineStr">
        <is>
          <t>倉庫</t>
        </is>
      </c>
      <c r="C744" t="inlineStr">
        <is>
          <t>令和6年1月分</t>
        </is>
      </c>
      <c r="D744" t="n">
        <v>0</v>
      </c>
      <c r="E744" t="n">
        <v>0</v>
      </c>
      <c r="F744" t="e">
        <v>#DIV/0!</v>
      </c>
      <c r="G744" t="e">
        <v>#DIV/0!</v>
      </c>
    </row>
    <row r="745">
      <c r="A745" t="inlineStr">
        <is>
          <t>鉄骨造</t>
        </is>
      </c>
      <c r="B745" t="inlineStr">
        <is>
          <t>倉庫</t>
        </is>
      </c>
      <c r="C745" t="inlineStr">
        <is>
          <t>令和6年2月分</t>
        </is>
      </c>
      <c r="D745" t="n">
        <v>12946</v>
      </c>
      <c r="E745" t="n">
        <v>302550</v>
      </c>
      <c r="F745" t="n">
        <v>23.37015294299398</v>
      </c>
      <c r="G745" t="n">
        <v>77.25670385107369</v>
      </c>
    </row>
    <row r="746">
      <c r="A746" t="inlineStr">
        <is>
          <t>鉄骨造</t>
        </is>
      </c>
      <c r="B746" t="inlineStr">
        <is>
          <t>倉庫</t>
        </is>
      </c>
      <c r="C746" t="inlineStr">
        <is>
          <t>令和6年3月分</t>
        </is>
      </c>
      <c r="D746" t="n">
        <v>9698</v>
      </c>
      <c r="E746" t="n">
        <v>267800</v>
      </c>
      <c r="F746" t="n">
        <v>27.61394101876676</v>
      </c>
      <c r="G746" t="n">
        <v>91.28575532439677</v>
      </c>
    </row>
    <row r="747">
      <c r="A747" t="inlineStr">
        <is>
          <t>鉄骨造</t>
        </is>
      </c>
      <c r="B747" t="inlineStr">
        <is>
          <t>倉庫</t>
        </is>
      </c>
      <c r="C747" t="inlineStr">
        <is>
          <t>令和6年4月分</t>
        </is>
      </c>
      <c r="D747" t="n">
        <v>0</v>
      </c>
      <c r="E747" t="n">
        <v>0</v>
      </c>
      <c r="F747" t="e">
        <v>#DIV/0!</v>
      </c>
      <c r="G747" t="e">
        <v>#DIV/0!</v>
      </c>
    </row>
    <row r="748">
      <c r="A748" t="inlineStr">
        <is>
          <t>鉄骨造</t>
        </is>
      </c>
      <c r="B748" t="inlineStr">
        <is>
          <t>倉庫</t>
        </is>
      </c>
      <c r="C748" t="inlineStr">
        <is>
          <t>令和6年5月分</t>
        </is>
      </c>
      <c r="D748" t="n">
        <v>0</v>
      </c>
      <c r="E748" t="n">
        <v>0</v>
      </c>
      <c r="F748" t="e">
        <v>#DIV/0!</v>
      </c>
      <c r="G748" t="e">
        <v>#DIV/0!</v>
      </c>
    </row>
    <row r="749">
      <c r="A749" t="inlineStr">
        <is>
          <t>鉄骨造</t>
        </is>
      </c>
      <c r="B749" t="inlineStr">
        <is>
          <t>倉庫</t>
        </is>
      </c>
      <c r="C749" t="inlineStr">
        <is>
          <t>令和6年6月分</t>
        </is>
      </c>
      <c r="D749" t="n">
        <v>1724</v>
      </c>
      <c r="E749" t="n">
        <v>29300</v>
      </c>
      <c r="F749" t="n">
        <v>16.9953596287703</v>
      </c>
      <c r="G749" t="n">
        <v>56.18300696983759</v>
      </c>
    </row>
    <row r="750">
      <c r="A750" t="inlineStr">
        <is>
          <t>鉄骨造</t>
        </is>
      </c>
      <c r="B750" t="inlineStr">
        <is>
          <t>倉庫</t>
        </is>
      </c>
      <c r="C750" t="inlineStr">
        <is>
          <t>令和6年7月分</t>
        </is>
      </c>
      <c r="D750" t="n">
        <v>111736</v>
      </c>
      <c r="E750" t="n">
        <v>2179930</v>
      </c>
      <c r="F750" t="n">
        <v>19.50964774110403</v>
      </c>
      <c r="G750" t="n">
        <v>64.49470319898332</v>
      </c>
    </row>
    <row r="751">
      <c r="A751" t="inlineStr">
        <is>
          <t>鉄骨造</t>
        </is>
      </c>
      <c r="B751" t="inlineStr">
        <is>
          <t>倉庫</t>
        </is>
      </c>
      <c r="C751" t="inlineStr">
        <is>
          <t>令和6年8月分</t>
        </is>
      </c>
      <c r="D751" t="n">
        <v>15871</v>
      </c>
      <c r="E751" t="n">
        <v>418575</v>
      </c>
      <c r="F751" t="n">
        <v>26.37357444395438</v>
      </c>
      <c r="G751" t="n">
        <v>87.18536995803667</v>
      </c>
    </row>
    <row r="752">
      <c r="A752" t="inlineStr">
        <is>
          <t>鉄骨造</t>
        </is>
      </c>
      <c r="B752" t="inlineStr">
        <is>
          <t>倉庫</t>
        </is>
      </c>
      <c r="C752" t="inlineStr">
        <is>
          <t>令和6年9月分</t>
        </is>
      </c>
      <c r="D752" t="n">
        <v>0</v>
      </c>
      <c r="E752" t="n">
        <v>0</v>
      </c>
      <c r="F752" t="e">
        <v>#DIV/0!</v>
      </c>
      <c r="G752" t="e">
        <v>#DIV/0!</v>
      </c>
    </row>
    <row r="753">
      <c r="A753" t="inlineStr">
        <is>
          <t>鉄骨造</t>
        </is>
      </c>
      <c r="B753" t="inlineStr">
        <is>
          <t>倉庫</t>
        </is>
      </c>
      <c r="C753" t="inlineStr">
        <is>
          <t>令和6年10月分</t>
        </is>
      </c>
      <c r="D753" t="n">
        <v>25</v>
      </c>
      <c r="E753" t="n">
        <v>100</v>
      </c>
      <c r="F753" t="n">
        <v>4</v>
      </c>
      <c r="G753" t="n">
        <v>13.22314048</v>
      </c>
    </row>
    <row r="754">
      <c r="A754" t="inlineStr">
        <is>
          <t>鉄骨造</t>
        </is>
      </c>
      <c r="B754" t="inlineStr">
        <is>
          <t>倉庫</t>
        </is>
      </c>
      <c r="C754" t="inlineStr">
        <is>
          <t>令和6年11月分</t>
        </is>
      </c>
      <c r="D754" t="n">
        <v>255890</v>
      </c>
      <c r="E754" t="n">
        <v>4832990</v>
      </c>
      <c r="F754" t="n">
        <v>18.8869826878737</v>
      </c>
      <c r="G754" t="n">
        <v>62.43630633127047</v>
      </c>
    </row>
    <row r="755">
      <c r="A755" t="inlineStr">
        <is>
          <t>鉄骨造</t>
        </is>
      </c>
      <c r="B755" t="inlineStr">
        <is>
          <t>倉庫</t>
        </is>
      </c>
      <c r="C755" t="inlineStr">
        <is>
          <t>令和6年12月分</t>
        </is>
      </c>
      <c r="D755" t="n">
        <v>50404</v>
      </c>
      <c r="E755" t="n">
        <v>946610</v>
      </c>
      <c r="F755" t="n">
        <v>18.7804539322276</v>
      </c>
      <c r="G755" t="n">
        <v>62.08414515600349</v>
      </c>
    </row>
    <row r="756">
      <c r="A756" t="inlineStr">
        <is>
          <t>鉄骨造</t>
        </is>
      </c>
      <c r="B756" t="inlineStr">
        <is>
          <t>倉庫</t>
        </is>
      </c>
      <c r="C756" t="inlineStr">
        <is>
          <t>令和7年1月分</t>
        </is>
      </c>
      <c r="D756" t="n">
        <v>25315</v>
      </c>
      <c r="E756" t="n">
        <v>834801.0782099999</v>
      </c>
      <c r="F756" t="n">
        <v>32.97653874027257</v>
      </c>
      <c r="G756" t="n">
        <v>109.0133510766966</v>
      </c>
    </row>
    <row r="757">
      <c r="A757" t="inlineStr">
        <is>
          <t>鉄骨造</t>
        </is>
      </c>
      <c r="B757" t="inlineStr">
        <is>
          <t>倉庫</t>
        </is>
      </c>
      <c r="C757" t="inlineStr">
        <is>
          <t>令和7年2月分</t>
        </is>
      </c>
      <c r="D757" t="n">
        <v>47793</v>
      </c>
      <c r="E757" t="n">
        <v>1028281.63805</v>
      </c>
      <c r="F757" t="n">
        <v>21.51531893896596</v>
      </c>
      <c r="G757" t="n">
        <v>71.12502120048785</v>
      </c>
    </row>
    <row r="758">
      <c r="A758" t="inlineStr">
        <is>
          <t>鉄骨造</t>
        </is>
      </c>
      <c r="B758" t="inlineStr">
        <is>
          <t>倉庫</t>
        </is>
      </c>
      <c r="C758" t="inlineStr">
        <is>
          <t>令和7年3月分</t>
        </is>
      </c>
      <c r="D758" t="n">
        <v>16411</v>
      </c>
      <c r="E758" t="n">
        <v>267589.42607</v>
      </c>
      <c r="F758" t="n">
        <v>16.30549180854305</v>
      </c>
      <c r="G758" t="n">
        <v>53.9024521949635</v>
      </c>
    </row>
    <row r="759">
      <c r="A759" t="inlineStr">
        <is>
          <t>鉄骨造</t>
        </is>
      </c>
      <c r="B759" t="inlineStr">
        <is>
          <t>倉庫</t>
        </is>
      </c>
      <c r="C759" t="inlineStr">
        <is>
          <t>令和7年4月分</t>
        </is>
      </c>
      <c r="D759" t="n">
        <v>87387</v>
      </c>
      <c r="E759" t="n">
        <v>2104780.50473</v>
      </c>
      <c r="F759" t="n">
        <v>24.08573935173424</v>
      </c>
      <c r="G759" t="n">
        <v>79.6222787531615</v>
      </c>
    </row>
    <row r="760">
      <c r="A760" t="inlineStr">
        <is>
          <t>鉄骨造</t>
        </is>
      </c>
      <c r="B760" t="inlineStr">
        <is>
          <t>倉庫</t>
        </is>
      </c>
      <c r="C760" t="inlineStr">
        <is>
          <t>令和7年5月分</t>
        </is>
      </c>
      <c r="D760" t="n">
        <v>94733</v>
      </c>
      <c r="E760" t="n">
        <v>2701573.82712</v>
      </c>
      <c r="F760" t="n">
        <v>28.51776917357204</v>
      </c>
      <c r="G760" t="n">
        <v>94.27361698958914</v>
      </c>
    </row>
    <row r="761">
      <c r="A761" t="inlineStr">
        <is>
          <t>鉄骨造</t>
        </is>
      </c>
      <c r="B761" t="inlineStr">
        <is>
          <t>倉庫</t>
        </is>
      </c>
      <c r="C761" t="inlineStr">
        <is>
          <t>令和7年6月分</t>
        </is>
      </c>
      <c r="D761" t="n">
        <v>116589</v>
      </c>
      <c r="E761" t="n">
        <v>3146602.74577</v>
      </c>
      <c r="F761" t="n">
        <v>26.98884753939051</v>
      </c>
      <c r="G761" t="n">
        <v>89.21933060166576</v>
      </c>
    </row>
    <row r="762">
      <c r="A762" t="inlineStr">
        <is>
          <t>鉄骨造</t>
        </is>
      </c>
      <c r="B762" t="inlineStr">
        <is>
          <t>倉庫</t>
        </is>
      </c>
      <c r="C762" t="inlineStr">
        <is>
          <t>令和7年7月分</t>
        </is>
      </c>
      <c r="D762" t="n">
        <v>96077</v>
      </c>
      <c r="E762" t="n">
        <v>2270387.14559</v>
      </c>
      <c r="F762" t="n">
        <v>23.63091213911758</v>
      </c>
      <c r="G762" t="n">
        <v>78.11871772152226</v>
      </c>
    </row>
    <row r="763">
      <c r="A763" t="inlineStr">
        <is>
          <t>鉄骨造</t>
        </is>
      </c>
      <c r="B763" t="inlineStr">
        <is>
          <t>倉庫</t>
        </is>
      </c>
      <c r="C763" t="inlineStr">
        <is>
          <t>令和7年8月分</t>
        </is>
      </c>
      <c r="D763" t="n">
        <v>69494</v>
      </c>
      <c r="E763" t="n">
        <v>1998559.50181</v>
      </c>
      <c r="F763" t="n">
        <v>28.7587345930584</v>
      </c>
      <c r="G763" t="n">
        <v>95.0701968877617</v>
      </c>
    </row>
    <row r="764">
      <c r="A764" t="inlineStr">
        <is>
          <t>鉄骨造</t>
        </is>
      </c>
      <c r="B764" t="inlineStr">
        <is>
          <t>倉庫</t>
        </is>
      </c>
      <c r="C764" t="inlineStr">
        <is>
          <t>令和7年8月分</t>
        </is>
      </c>
      <c r="D764" t="n">
        <v>262209</v>
      </c>
      <c r="E764" t="n">
        <v>5718614.25773</v>
      </c>
      <c r="F764" t="n">
        <v>21.80937442166363</v>
      </c>
      <c r="G764" t="n">
        <v>72.09710543964424</v>
      </c>
    </row>
    <row r="765">
      <c r="A765" t="inlineStr">
        <is>
          <t>鉄骨造</t>
        </is>
      </c>
      <c r="B765" t="inlineStr">
        <is>
          <t>倉庫</t>
        </is>
      </c>
      <c r="C765" t="inlineStr">
        <is>
          <t>令和7年8月分</t>
        </is>
      </c>
      <c r="D765" t="n">
        <v>30935</v>
      </c>
      <c r="E765" t="n">
        <v>743218.09382</v>
      </c>
      <c r="F765" t="n">
        <v>24.0251525398416</v>
      </c>
      <c r="G765" t="n">
        <v>79.42199177193858</v>
      </c>
    </row>
    <row r="766">
      <c r="A766" t="inlineStr">
        <is>
          <t>鉄骨造</t>
        </is>
      </c>
      <c r="B766" t="inlineStr">
        <is>
          <t>倉庫</t>
        </is>
      </c>
      <c r="C766" t="inlineStr">
        <is>
          <t>令和7年8月分</t>
        </is>
      </c>
      <c r="D766" t="n">
        <v>28816</v>
      </c>
      <c r="E766" t="n">
        <v>1068346</v>
      </c>
      <c r="F766" t="n">
        <v>37.07475013881177</v>
      </c>
      <c r="G766" t="n">
        <v>122.5611573366019</v>
      </c>
    </row>
    <row r="767">
      <c r="A767" t="inlineStr">
        <is>
          <t>鉄骨造</t>
        </is>
      </c>
      <c r="B767" t="inlineStr">
        <is>
          <t>学校の校舎</t>
        </is>
      </c>
      <c r="C767" t="inlineStr">
        <is>
          <t>2015（基準）</t>
        </is>
      </c>
      <c r="D767" t="n">
        <v>14738</v>
      </c>
      <c r="E767" t="n">
        <v>528100</v>
      </c>
      <c r="F767" t="n">
        <v>35.83254172886416</v>
      </c>
      <c r="G767" t="n">
        <v>118.4546832590582</v>
      </c>
    </row>
    <row r="768">
      <c r="A768" t="inlineStr">
        <is>
          <t>鉄骨造</t>
        </is>
      </c>
      <c r="B768" t="inlineStr">
        <is>
          <t>学校の校舎</t>
        </is>
      </c>
      <c r="C768" t="inlineStr">
        <is>
          <t>令和4年1月分</t>
        </is>
      </c>
      <c r="D768" t="n">
        <v>0</v>
      </c>
      <c r="E768" t="n">
        <v>0</v>
      </c>
      <c r="F768" t="e">
        <v>#DIV/0!</v>
      </c>
      <c r="G768" t="e">
        <v>#DIV/0!</v>
      </c>
    </row>
    <row r="769">
      <c r="A769" t="inlineStr">
        <is>
          <t>鉄骨造</t>
        </is>
      </c>
      <c r="B769" t="inlineStr">
        <is>
          <t>学校の校舎</t>
        </is>
      </c>
      <c r="C769" t="inlineStr">
        <is>
          <t>令和4年2月分</t>
        </is>
      </c>
      <c r="D769" t="n">
        <v>0</v>
      </c>
      <c r="E769" t="n">
        <v>0</v>
      </c>
      <c r="F769" t="e">
        <v>#DIV/0!</v>
      </c>
      <c r="G769" t="e">
        <v>#DIV/0!</v>
      </c>
    </row>
    <row r="770">
      <c r="A770" t="inlineStr">
        <is>
          <t>鉄骨造</t>
        </is>
      </c>
      <c r="B770" t="inlineStr">
        <is>
          <t>学校の校舎</t>
        </is>
      </c>
      <c r="C770" t="inlineStr">
        <is>
          <t>令和4年3月分</t>
        </is>
      </c>
      <c r="D770" t="n">
        <v>0</v>
      </c>
      <c r="E770" t="n">
        <v>0</v>
      </c>
      <c r="F770" t="e">
        <v>#DIV/0!</v>
      </c>
      <c r="G770" t="e">
        <v>#DIV/0!</v>
      </c>
    </row>
    <row r="771">
      <c r="A771" t="inlineStr">
        <is>
          <t>鉄骨造</t>
        </is>
      </c>
      <c r="B771" t="inlineStr">
        <is>
          <t>学校の校舎</t>
        </is>
      </c>
      <c r="C771" t="inlineStr">
        <is>
          <t>令和4年4月分</t>
        </is>
      </c>
      <c r="D771" t="n">
        <v>0</v>
      </c>
      <c r="E771" t="n">
        <v>0</v>
      </c>
      <c r="F771" t="e">
        <v>#DIV/0!</v>
      </c>
      <c r="G771" t="e">
        <v>#DIV/0!</v>
      </c>
    </row>
    <row r="772">
      <c r="A772" t="inlineStr">
        <is>
          <t>鉄骨造</t>
        </is>
      </c>
      <c r="B772" t="inlineStr">
        <is>
          <t>学校の校舎</t>
        </is>
      </c>
      <c r="C772" t="inlineStr">
        <is>
          <t>令和4年5月分</t>
        </is>
      </c>
      <c r="D772" t="n">
        <v>30</v>
      </c>
      <c r="E772" t="n">
        <v>300</v>
      </c>
      <c r="F772" t="n">
        <v>10</v>
      </c>
      <c r="G772" t="n">
        <v>33.0578512</v>
      </c>
    </row>
    <row r="773">
      <c r="A773" t="inlineStr">
        <is>
          <t>鉄骨造</t>
        </is>
      </c>
      <c r="B773" t="inlineStr">
        <is>
          <t>学校の校舎</t>
        </is>
      </c>
      <c r="C773" t="inlineStr">
        <is>
          <t>令和4年6月分</t>
        </is>
      </c>
      <c r="D773" t="n">
        <v>0</v>
      </c>
      <c r="E773" t="n">
        <v>0</v>
      </c>
      <c r="F773" t="e">
        <v>#DIV/0!</v>
      </c>
      <c r="G773" t="e">
        <v>#DIV/0!</v>
      </c>
    </row>
    <row r="774">
      <c r="A774" t="inlineStr">
        <is>
          <t>鉄骨造</t>
        </is>
      </c>
      <c r="B774" t="inlineStr">
        <is>
          <t>学校の校舎</t>
        </is>
      </c>
      <c r="C774" t="inlineStr">
        <is>
          <t>令和4年7月分</t>
        </is>
      </c>
      <c r="D774" t="n">
        <v>19491</v>
      </c>
      <c r="E774" t="n">
        <v>636370</v>
      </c>
      <c r="F774" t="n">
        <v>32.64942794110102</v>
      </c>
      <c r="G774" t="n">
        <v>107.931993064204</v>
      </c>
    </row>
    <row r="775">
      <c r="A775" t="inlineStr">
        <is>
          <t>鉄骨造</t>
        </is>
      </c>
      <c r="B775" t="inlineStr">
        <is>
          <t>学校の校舎</t>
        </is>
      </c>
      <c r="C775" t="inlineStr">
        <is>
          <t>令和4年8月分</t>
        </is>
      </c>
      <c r="D775" t="n">
        <v>0</v>
      </c>
      <c r="E775" t="n">
        <v>0</v>
      </c>
      <c r="F775" t="e">
        <v>#DIV/0!</v>
      </c>
      <c r="G775" t="e">
        <v>#DIV/0!</v>
      </c>
    </row>
    <row r="776">
      <c r="A776" t="inlineStr">
        <is>
          <t>鉄骨造</t>
        </is>
      </c>
      <c r="B776" t="inlineStr">
        <is>
          <t>学校の校舎</t>
        </is>
      </c>
      <c r="C776" t="inlineStr">
        <is>
          <t>令和4年9月分</t>
        </is>
      </c>
      <c r="D776" t="n">
        <v>1473</v>
      </c>
      <c r="E776" t="n">
        <v>2000</v>
      </c>
      <c r="F776" t="n">
        <v>1.357773251866938</v>
      </c>
      <c r="G776" t="n">
        <v>4.488506612355737</v>
      </c>
    </row>
    <row r="777">
      <c r="A777" t="inlineStr">
        <is>
          <t>鉄骨造</t>
        </is>
      </c>
      <c r="B777" t="inlineStr">
        <is>
          <t>学校の校舎</t>
        </is>
      </c>
      <c r="C777" t="inlineStr">
        <is>
          <t>令和4年10月分</t>
        </is>
      </c>
      <c r="D777" t="n">
        <v>0</v>
      </c>
      <c r="E777" t="n">
        <v>0</v>
      </c>
      <c r="F777" t="e">
        <v>#DIV/0!</v>
      </c>
      <c r="G777" t="e">
        <v>#DIV/0!</v>
      </c>
    </row>
    <row r="778">
      <c r="A778" t="inlineStr">
        <is>
          <t>鉄骨造</t>
        </is>
      </c>
      <c r="B778" t="inlineStr">
        <is>
          <t>学校の校舎</t>
        </is>
      </c>
      <c r="C778" t="inlineStr">
        <is>
          <t>令和4年11月分</t>
        </is>
      </c>
      <c r="D778" t="n">
        <v>45486</v>
      </c>
      <c r="E778" t="n">
        <v>2000000</v>
      </c>
      <c r="F778" t="n">
        <v>43.96957305544563</v>
      </c>
      <c r="G778" t="n">
        <v>145.3539603394451</v>
      </c>
    </row>
    <row r="779">
      <c r="A779" t="inlineStr">
        <is>
          <t>鉄骨造</t>
        </is>
      </c>
      <c r="B779" t="inlineStr">
        <is>
          <t>学校の校舎</t>
        </is>
      </c>
      <c r="C779" t="inlineStr">
        <is>
          <t>令和4年12月分</t>
        </is>
      </c>
      <c r="D779" t="n">
        <v>0</v>
      </c>
      <c r="E779" t="n">
        <v>0</v>
      </c>
      <c r="F779" t="e">
        <v>#DIV/0!</v>
      </c>
      <c r="G779" t="e">
        <v>#DIV/0!</v>
      </c>
    </row>
    <row r="780">
      <c r="A780" t="inlineStr">
        <is>
          <t>鉄骨造</t>
        </is>
      </c>
      <c r="B780" t="inlineStr">
        <is>
          <t>学校の校舎</t>
        </is>
      </c>
      <c r="C780" t="inlineStr">
        <is>
          <t>令和5年1月分</t>
        </is>
      </c>
      <c r="D780" t="n">
        <v>0</v>
      </c>
      <c r="E780" t="n">
        <v>0</v>
      </c>
      <c r="F780" t="e">
        <v>#DIV/0!</v>
      </c>
      <c r="G780" t="e">
        <v>#DIV/0!</v>
      </c>
    </row>
    <row r="781">
      <c r="A781" t="inlineStr">
        <is>
          <t>鉄骨造</t>
        </is>
      </c>
      <c r="B781" t="inlineStr">
        <is>
          <t>学校の校舎</t>
        </is>
      </c>
      <c r="C781" t="inlineStr">
        <is>
          <t>令和5年2月分</t>
        </is>
      </c>
      <c r="D781" t="n">
        <v>0</v>
      </c>
      <c r="E781" t="n">
        <v>0</v>
      </c>
      <c r="F781" t="e">
        <v>#DIV/0!</v>
      </c>
      <c r="G781" t="e">
        <v>#DIV/0!</v>
      </c>
    </row>
    <row r="782">
      <c r="A782" t="inlineStr">
        <is>
          <t>鉄骨造</t>
        </is>
      </c>
      <c r="B782" t="inlineStr">
        <is>
          <t>学校の校舎</t>
        </is>
      </c>
      <c r="C782" t="inlineStr">
        <is>
          <t>令和5年3月分</t>
        </is>
      </c>
      <c r="D782" t="n">
        <v>0</v>
      </c>
      <c r="E782" t="n">
        <v>0</v>
      </c>
      <c r="F782" t="e">
        <v>#DIV/0!</v>
      </c>
      <c r="G782" t="e">
        <v>#DIV/0!</v>
      </c>
    </row>
    <row r="783">
      <c r="A783" t="inlineStr">
        <is>
          <t>鉄骨造</t>
        </is>
      </c>
      <c r="B783" t="inlineStr">
        <is>
          <t>学校の校舎</t>
        </is>
      </c>
      <c r="C783" t="inlineStr">
        <is>
          <t>令和5年4月分</t>
        </is>
      </c>
      <c r="D783" t="n">
        <v>0</v>
      </c>
      <c r="E783" t="n">
        <v>0</v>
      </c>
      <c r="F783" t="e">
        <v>#DIV/0!</v>
      </c>
      <c r="G783" t="e">
        <v>#DIV/0!</v>
      </c>
    </row>
    <row r="784">
      <c r="A784" t="inlineStr">
        <is>
          <t>鉄骨造</t>
        </is>
      </c>
      <c r="B784" t="inlineStr">
        <is>
          <t>学校の校舎</t>
        </is>
      </c>
      <c r="C784" t="inlineStr">
        <is>
          <t>令和5年5月分</t>
        </is>
      </c>
      <c r="D784" t="n">
        <v>0</v>
      </c>
      <c r="E784" t="n">
        <v>0</v>
      </c>
      <c r="F784" t="e">
        <v>#DIV/0!</v>
      </c>
      <c r="G784" t="e">
        <v>#DIV/0!</v>
      </c>
    </row>
    <row r="785">
      <c r="A785" t="inlineStr">
        <is>
          <t>鉄骨造</t>
        </is>
      </c>
      <c r="B785" t="inlineStr">
        <is>
          <t>学校の校舎</t>
        </is>
      </c>
      <c r="C785" t="inlineStr">
        <is>
          <t>令和5年6月分</t>
        </is>
      </c>
      <c r="D785" t="n">
        <v>0</v>
      </c>
      <c r="E785" t="n">
        <v>0</v>
      </c>
      <c r="F785" t="e">
        <v>#DIV/0!</v>
      </c>
      <c r="G785" t="e">
        <v>#DIV/0!</v>
      </c>
    </row>
    <row r="786">
      <c r="A786" t="inlineStr">
        <is>
          <t>鉄骨造</t>
        </is>
      </c>
      <c r="B786" t="inlineStr">
        <is>
          <t>学校の校舎</t>
        </is>
      </c>
      <c r="C786" t="inlineStr">
        <is>
          <t>令和5年7月分</t>
        </is>
      </c>
      <c r="D786" t="n">
        <v>0</v>
      </c>
      <c r="E786" t="n">
        <v>0</v>
      </c>
      <c r="F786" t="e">
        <v>#DIV/0!</v>
      </c>
      <c r="G786" t="e">
        <v>#DIV/0!</v>
      </c>
    </row>
    <row r="787">
      <c r="A787" t="inlineStr">
        <is>
          <t>鉄骨造</t>
        </is>
      </c>
      <c r="B787" t="inlineStr">
        <is>
          <t>学校の校舎</t>
        </is>
      </c>
      <c r="C787" t="inlineStr">
        <is>
          <t>令和5年8月分</t>
        </is>
      </c>
      <c r="D787" t="n">
        <v>0</v>
      </c>
      <c r="E787" t="n">
        <v>0</v>
      </c>
      <c r="F787" t="e">
        <v>#DIV/0!</v>
      </c>
      <c r="G787" t="e">
        <v>#DIV/0!</v>
      </c>
    </row>
    <row r="788">
      <c r="A788" t="inlineStr">
        <is>
          <t>鉄骨造</t>
        </is>
      </c>
      <c r="B788" t="inlineStr">
        <is>
          <t>学校の校舎</t>
        </is>
      </c>
      <c r="C788" t="inlineStr">
        <is>
          <t>令和5年9月分</t>
        </is>
      </c>
      <c r="D788" t="n">
        <v>0</v>
      </c>
      <c r="E788" t="n">
        <v>0</v>
      </c>
      <c r="F788" t="e">
        <v>#DIV/0!</v>
      </c>
      <c r="G788" t="e">
        <v>#DIV/0!</v>
      </c>
    </row>
    <row r="789">
      <c r="A789" t="inlineStr">
        <is>
          <t>鉄骨造</t>
        </is>
      </c>
      <c r="B789" t="inlineStr">
        <is>
          <t>学校の校舎</t>
        </is>
      </c>
      <c r="C789" t="inlineStr">
        <is>
          <t>令和5年10月分</t>
        </is>
      </c>
      <c r="D789" t="n">
        <v>0</v>
      </c>
      <c r="E789" t="n">
        <v>0</v>
      </c>
      <c r="F789" t="e">
        <v>#DIV/0!</v>
      </c>
      <c r="G789" t="e">
        <v>#DIV/0!</v>
      </c>
    </row>
    <row r="790">
      <c r="A790" t="inlineStr">
        <is>
          <t>鉄骨造</t>
        </is>
      </c>
      <c r="B790" t="inlineStr">
        <is>
          <t>学校の校舎</t>
        </is>
      </c>
      <c r="C790" t="inlineStr">
        <is>
          <t>令和5年11月分</t>
        </is>
      </c>
      <c r="D790" t="n">
        <v>0</v>
      </c>
      <c r="E790" t="n">
        <v>0</v>
      </c>
      <c r="F790" t="e">
        <v>#DIV/0!</v>
      </c>
      <c r="G790" t="e">
        <v>#DIV/0!</v>
      </c>
    </row>
    <row r="791">
      <c r="A791" t="inlineStr">
        <is>
          <t>鉄骨造</t>
        </is>
      </c>
      <c r="B791" t="inlineStr">
        <is>
          <t>学校の校舎</t>
        </is>
      </c>
      <c r="C791" t="inlineStr">
        <is>
          <t>令和5年12月分</t>
        </is>
      </c>
      <c r="D791" t="n">
        <v>0</v>
      </c>
      <c r="E791" t="n">
        <v>0</v>
      </c>
      <c r="F791" t="e">
        <v>#DIV/0!</v>
      </c>
      <c r="G791" t="e">
        <v>#DIV/0!</v>
      </c>
    </row>
    <row r="792">
      <c r="A792" t="inlineStr">
        <is>
          <t>鉄骨造</t>
        </is>
      </c>
      <c r="B792" t="inlineStr">
        <is>
          <t>学校の校舎</t>
        </is>
      </c>
      <c r="C792" t="inlineStr">
        <is>
          <t>令和6年1月分</t>
        </is>
      </c>
      <c r="D792" t="n">
        <v>16982</v>
      </c>
      <c r="E792" t="n">
        <v>1250000</v>
      </c>
      <c r="F792" t="n">
        <v>73.60734895771994</v>
      </c>
      <c r="G792" t="n">
        <v>243.3300789070781</v>
      </c>
    </row>
    <row r="793">
      <c r="A793" t="inlineStr">
        <is>
          <t>鉄骨造</t>
        </is>
      </c>
      <c r="B793" t="inlineStr">
        <is>
          <t>学校の校舎</t>
        </is>
      </c>
      <c r="C793" t="inlineStr">
        <is>
          <t>令和6年2月分</t>
        </is>
      </c>
      <c r="D793" t="n">
        <v>888</v>
      </c>
      <c r="E793" t="n">
        <v>47860</v>
      </c>
      <c r="F793" t="n">
        <v>53.8963963963964</v>
      </c>
      <c r="G793" t="n">
        <v>178.1699052288288</v>
      </c>
    </row>
    <row r="794">
      <c r="A794" t="inlineStr">
        <is>
          <t>鉄骨造</t>
        </is>
      </c>
      <c r="B794" t="inlineStr">
        <is>
          <t>学校の校舎</t>
        </is>
      </c>
      <c r="C794" t="inlineStr">
        <is>
          <t>令和6年3月分</t>
        </is>
      </c>
      <c r="D794" t="n">
        <v>0</v>
      </c>
      <c r="E794" t="n">
        <v>0</v>
      </c>
      <c r="F794" t="e">
        <v>#DIV/0!</v>
      </c>
      <c r="G794" t="e">
        <v>#DIV/0!</v>
      </c>
    </row>
    <row r="795">
      <c r="A795" t="inlineStr">
        <is>
          <t>鉄骨造</t>
        </is>
      </c>
      <c r="B795" t="inlineStr">
        <is>
          <t>学校の校舎</t>
        </is>
      </c>
      <c r="C795" t="inlineStr">
        <is>
          <t>令和6年4月分</t>
        </is>
      </c>
      <c r="D795" t="n">
        <v>0</v>
      </c>
      <c r="E795" t="n">
        <v>0</v>
      </c>
      <c r="F795" t="e">
        <v>#DIV/0!</v>
      </c>
      <c r="G795" t="e">
        <v>#DIV/0!</v>
      </c>
    </row>
    <row r="796">
      <c r="A796" t="inlineStr">
        <is>
          <t>鉄骨造</t>
        </is>
      </c>
      <c r="B796" t="inlineStr">
        <is>
          <t>学校の校舎</t>
        </is>
      </c>
      <c r="C796" t="inlineStr">
        <is>
          <t>令和6年5月分</t>
        </is>
      </c>
      <c r="D796" t="n">
        <v>0</v>
      </c>
      <c r="E796" t="n">
        <v>0</v>
      </c>
      <c r="F796" t="e">
        <v>#DIV/0!</v>
      </c>
      <c r="G796" t="e">
        <v>#DIV/0!</v>
      </c>
    </row>
    <row r="797">
      <c r="A797" t="inlineStr">
        <is>
          <t>鉄骨造</t>
        </is>
      </c>
      <c r="B797" t="inlineStr">
        <is>
          <t>学校の校舎</t>
        </is>
      </c>
      <c r="C797" t="inlineStr">
        <is>
          <t>令和6年6月分</t>
        </is>
      </c>
      <c r="D797" t="n">
        <v>854</v>
      </c>
      <c r="E797" t="n">
        <v>100000</v>
      </c>
      <c r="F797" t="n">
        <v>117.096018735363</v>
      </c>
      <c r="G797" t="n">
        <v>387.0942763466042</v>
      </c>
    </row>
    <row r="798">
      <c r="A798" t="inlineStr">
        <is>
          <t>鉄骨造</t>
        </is>
      </c>
      <c r="B798" t="inlineStr">
        <is>
          <t>学校の校舎</t>
        </is>
      </c>
      <c r="C798" t="inlineStr">
        <is>
          <t>令和6年7月分</t>
        </is>
      </c>
      <c r="D798" t="n">
        <v>0</v>
      </c>
      <c r="E798" t="n">
        <v>0</v>
      </c>
      <c r="F798" t="e">
        <v>#DIV/0!</v>
      </c>
      <c r="G798" t="e">
        <v>#DIV/0!</v>
      </c>
    </row>
    <row r="799">
      <c r="A799" t="inlineStr">
        <is>
          <t>鉄骨造</t>
        </is>
      </c>
      <c r="B799" t="inlineStr">
        <is>
          <t>学校の校舎</t>
        </is>
      </c>
      <c r="C799" t="inlineStr">
        <is>
          <t>令和6年8月分</t>
        </is>
      </c>
      <c r="D799" t="n">
        <v>0</v>
      </c>
      <c r="E799" t="n">
        <v>0</v>
      </c>
      <c r="F799" t="e">
        <v>#DIV/0!</v>
      </c>
      <c r="G799" t="e">
        <v>#DIV/0!</v>
      </c>
    </row>
    <row r="800">
      <c r="A800" t="inlineStr">
        <is>
          <t>鉄骨造</t>
        </is>
      </c>
      <c r="B800" t="inlineStr">
        <is>
          <t>学校の校舎</t>
        </is>
      </c>
      <c r="C800" t="inlineStr">
        <is>
          <t>令和6年9月分</t>
        </is>
      </c>
      <c r="D800" t="n">
        <v>0</v>
      </c>
      <c r="E800" t="n">
        <v>0</v>
      </c>
      <c r="F800" t="e">
        <v>#DIV/0!</v>
      </c>
      <c r="G800" t="e">
        <v>#DIV/0!</v>
      </c>
    </row>
    <row r="801">
      <c r="A801" t="inlineStr">
        <is>
          <t>鉄骨造</t>
        </is>
      </c>
      <c r="B801" t="inlineStr">
        <is>
          <t>学校の校舎</t>
        </is>
      </c>
      <c r="C801" t="inlineStr">
        <is>
          <t>令和6年10月分</t>
        </is>
      </c>
      <c r="D801" t="n">
        <v>0</v>
      </c>
      <c r="E801" t="n">
        <v>0</v>
      </c>
      <c r="F801" t="e">
        <v>#DIV/0!</v>
      </c>
      <c r="G801" t="e">
        <v>#DIV/0!</v>
      </c>
    </row>
    <row r="802">
      <c r="A802" t="inlineStr">
        <is>
          <t>鉄骨造</t>
        </is>
      </c>
      <c r="B802" t="inlineStr">
        <is>
          <t>学校の校舎</t>
        </is>
      </c>
      <c r="C802" t="inlineStr">
        <is>
          <t>令和6年11月分</t>
        </is>
      </c>
      <c r="D802" t="n">
        <v>0</v>
      </c>
      <c r="E802" t="n">
        <v>0</v>
      </c>
      <c r="F802" t="e">
        <v>#DIV/0!</v>
      </c>
      <c r="G802" t="e">
        <v>#DIV/0!</v>
      </c>
    </row>
    <row r="803">
      <c r="A803" t="inlineStr">
        <is>
          <t>鉄骨造</t>
        </is>
      </c>
      <c r="B803" t="inlineStr">
        <is>
          <t>学校の校舎</t>
        </is>
      </c>
      <c r="C803" t="inlineStr">
        <is>
          <t>令和6年12月分</t>
        </is>
      </c>
      <c r="D803" t="n">
        <v>0</v>
      </c>
      <c r="E803" t="n">
        <v>0</v>
      </c>
      <c r="F803" t="e">
        <v>#DIV/0!</v>
      </c>
      <c r="G803" t="e">
        <v>#DIV/0!</v>
      </c>
    </row>
    <row r="804">
      <c r="A804" t="inlineStr">
        <is>
          <t>鉄骨造</t>
        </is>
      </c>
      <c r="B804" t="inlineStr">
        <is>
          <t>学校の校舎</t>
        </is>
      </c>
      <c r="C804" t="inlineStr">
        <is>
          <t>令和7年1月分</t>
        </is>
      </c>
      <c r="D804" t="n">
        <v>1354</v>
      </c>
      <c r="E804" t="n">
        <v>111816.81682</v>
      </c>
      <c r="F804" t="n">
        <v>82.58258258493352</v>
      </c>
      <c r="G804" t="n">
        <v>273.0002726804444</v>
      </c>
    </row>
    <row r="805">
      <c r="A805" t="inlineStr">
        <is>
          <t>鉄骨造</t>
        </is>
      </c>
      <c r="B805" t="inlineStr">
        <is>
          <t>学校の校舎</t>
        </is>
      </c>
      <c r="C805" t="inlineStr">
        <is>
          <t>令和7年2月分</t>
        </is>
      </c>
      <c r="D805" t="n">
        <v>1254</v>
      </c>
      <c r="E805" t="n">
        <v>76724.41553</v>
      </c>
      <c r="F805" t="n">
        <v>61.18374444178628</v>
      </c>
      <c r="G805" t="n">
        <v>202.2603119615398</v>
      </c>
    </row>
    <row r="806">
      <c r="A806" t="inlineStr">
        <is>
          <t>鉄骨造</t>
        </is>
      </c>
      <c r="B806" t="inlineStr">
        <is>
          <t>学校の校舎</t>
        </is>
      </c>
      <c r="C806" t="inlineStr">
        <is>
          <t>令和7年3月分</t>
        </is>
      </c>
      <c r="D806" t="n">
        <v>6398</v>
      </c>
      <c r="E806" t="n">
        <v>149693.78766</v>
      </c>
      <c r="F806" t="n">
        <v>23.39696587371053</v>
      </c>
      <c r="G806" t="n">
        <v>77.34534163846008</v>
      </c>
    </row>
    <row r="807">
      <c r="A807" t="inlineStr">
        <is>
          <t>鉄骨造</t>
        </is>
      </c>
      <c r="B807" t="inlineStr">
        <is>
          <t>学校の校舎</t>
        </is>
      </c>
      <c r="C807" t="inlineStr">
        <is>
          <t>令和7年4月分</t>
        </is>
      </c>
      <c r="D807" t="n">
        <v>21156</v>
      </c>
      <c r="E807" t="n">
        <v>723762.28367</v>
      </c>
      <c r="F807" t="n">
        <v>34.2107337715069</v>
      </c>
      <c r="G807" t="n">
        <v>113.093334646129</v>
      </c>
    </row>
    <row r="808">
      <c r="A808" t="inlineStr">
        <is>
          <t>鉄骨造</t>
        </is>
      </c>
      <c r="B808" t="inlineStr">
        <is>
          <t>学校の校舎</t>
        </is>
      </c>
      <c r="C808" t="inlineStr">
        <is>
          <t>令和7年5月分</t>
        </is>
      </c>
      <c r="D808" t="n">
        <v>582</v>
      </c>
      <c r="E808" t="n">
        <v>101422.4924</v>
      </c>
      <c r="F808" t="n">
        <v>174.2654508591065</v>
      </c>
      <c r="G808" t="n">
        <v>576.0841343801255</v>
      </c>
    </row>
    <row r="809">
      <c r="A809" t="inlineStr">
        <is>
          <t>鉄骨造</t>
        </is>
      </c>
      <c r="B809" t="inlineStr">
        <is>
          <t>学校の校舎</t>
        </is>
      </c>
      <c r="C809" t="inlineStr">
        <is>
          <t>令和7年6月分</t>
        </is>
      </c>
      <c r="D809" t="n">
        <v>0</v>
      </c>
      <c r="E809" t="n">
        <v>0</v>
      </c>
      <c r="F809" t="e">
        <v>#DIV/0!</v>
      </c>
      <c r="G809" t="e">
        <v>#DIV/0!</v>
      </c>
    </row>
    <row r="810">
      <c r="A810" t="inlineStr">
        <is>
          <t>鉄骨造</t>
        </is>
      </c>
      <c r="B810" t="inlineStr">
        <is>
          <t>学校の校舎</t>
        </is>
      </c>
      <c r="C810" t="inlineStr">
        <is>
          <t>令和7年7月分</t>
        </is>
      </c>
      <c r="D810" t="n">
        <v>511</v>
      </c>
      <c r="E810" t="n">
        <v>20222.22222</v>
      </c>
      <c r="F810" t="n">
        <v>39.57382039138943</v>
      </c>
      <c r="G810" t="n">
        <v>130.8225465914078</v>
      </c>
    </row>
    <row r="811">
      <c r="A811" t="inlineStr">
        <is>
          <t>鉄骨造</t>
        </is>
      </c>
      <c r="B811" t="inlineStr">
        <is>
          <t>学校の校舎</t>
        </is>
      </c>
      <c r="C811" t="inlineStr">
        <is>
          <t>令和7年8月分</t>
        </is>
      </c>
      <c r="D811" t="n">
        <v>740</v>
      </c>
      <c r="E811" t="n">
        <v>39900.51077</v>
      </c>
      <c r="F811" t="n">
        <v>53.91960914864865</v>
      </c>
      <c r="G811" t="n">
        <v>178.2466415998186</v>
      </c>
    </row>
    <row r="812">
      <c r="A812" t="inlineStr">
        <is>
          <t>鉄骨造</t>
        </is>
      </c>
      <c r="B812" t="inlineStr">
        <is>
          <t>学校の校舎</t>
        </is>
      </c>
      <c r="C812" t="inlineStr">
        <is>
          <t>令和7年8月分</t>
        </is>
      </c>
      <c r="D812" t="n">
        <v>0</v>
      </c>
      <c r="E812" t="n">
        <v>0</v>
      </c>
      <c r="F812" t="e">
        <v>#DIV/0!</v>
      </c>
      <c r="G812" t="e">
        <v>#DIV/0!</v>
      </c>
    </row>
    <row r="813">
      <c r="A813" t="inlineStr">
        <is>
          <t>鉄骨造</t>
        </is>
      </c>
      <c r="B813" t="inlineStr">
        <is>
          <t>学校の校舎</t>
        </is>
      </c>
      <c r="C813" t="inlineStr">
        <is>
          <t>令和7年8月分</t>
        </is>
      </c>
      <c r="D813" t="n">
        <v>886</v>
      </c>
      <c r="E813" t="n">
        <v>35089.10891</v>
      </c>
      <c r="F813" t="n">
        <v>39.60396039503387</v>
      </c>
      <c r="G813" t="n">
        <v>130.9221829669723</v>
      </c>
    </row>
    <row r="814">
      <c r="A814" t="inlineStr">
        <is>
          <t>鉄骨造</t>
        </is>
      </c>
      <c r="B814" t="inlineStr">
        <is>
          <t>学校の校舎</t>
        </is>
      </c>
      <c r="C814" t="inlineStr">
        <is>
          <t>令和7年8月分</t>
        </is>
      </c>
      <c r="D814" t="n">
        <v>0</v>
      </c>
      <c r="E814" t="n">
        <v>0</v>
      </c>
      <c r="F814" t="e">
        <v>#DIV/0!</v>
      </c>
      <c r="G814" t="e">
        <v>#DIV/0!</v>
      </c>
    </row>
    <row r="815">
      <c r="A815" t="inlineStr">
        <is>
          <t>鉄骨造</t>
        </is>
      </c>
      <c r="B815" t="inlineStr">
        <is>
          <t>病院・診療所</t>
        </is>
      </c>
      <c r="C815" t="inlineStr">
        <is>
          <t>2015（基準）</t>
        </is>
      </c>
      <c r="D815" t="n">
        <v>10862</v>
      </c>
      <c r="E815" t="n">
        <v>418652</v>
      </c>
      <c r="F815" t="n">
        <v>38.54280979561775</v>
      </c>
      <c r="G815" t="n">
        <v>127.4142471053434</v>
      </c>
    </row>
    <row r="816">
      <c r="A816" t="inlineStr">
        <is>
          <t>鉄骨造</t>
        </is>
      </c>
      <c r="B816" t="inlineStr">
        <is>
          <t>病院・診療所</t>
        </is>
      </c>
      <c r="C816" t="inlineStr">
        <is>
          <t>令和4年1月分</t>
        </is>
      </c>
      <c r="D816" t="n">
        <v>0</v>
      </c>
      <c r="E816" t="n">
        <v>0</v>
      </c>
      <c r="F816" t="e">
        <v>#DIV/0!</v>
      </c>
      <c r="G816" t="e">
        <v>#DIV/0!</v>
      </c>
    </row>
    <row r="817">
      <c r="A817" t="inlineStr">
        <is>
          <t>鉄骨造</t>
        </is>
      </c>
      <c r="B817" t="inlineStr">
        <is>
          <t>病院・診療所</t>
        </is>
      </c>
      <c r="C817" t="inlineStr">
        <is>
          <t>令和4年2月分</t>
        </is>
      </c>
      <c r="D817" t="n">
        <v>570</v>
      </c>
      <c r="E817" t="n">
        <v>11000</v>
      </c>
      <c r="F817" t="n">
        <v>19.29824561403509</v>
      </c>
      <c r="G817" t="n">
        <v>63.79585319298246</v>
      </c>
    </row>
    <row r="818">
      <c r="A818" t="inlineStr">
        <is>
          <t>鉄骨造</t>
        </is>
      </c>
      <c r="B818" t="inlineStr">
        <is>
          <t>病院・診療所</t>
        </is>
      </c>
      <c r="C818" t="inlineStr">
        <is>
          <t>令和4年3月分</t>
        </is>
      </c>
      <c r="D818" t="n">
        <v>0</v>
      </c>
      <c r="E818" t="n">
        <v>0</v>
      </c>
      <c r="F818" t="e">
        <v>#DIV/0!</v>
      </c>
      <c r="G818" t="e">
        <v>#DIV/0!</v>
      </c>
    </row>
    <row r="819">
      <c r="A819" t="inlineStr">
        <is>
          <t>鉄骨造</t>
        </is>
      </c>
      <c r="B819" t="inlineStr">
        <is>
          <t>病院・診療所</t>
        </is>
      </c>
      <c r="C819" t="inlineStr">
        <is>
          <t>令和4年4月分</t>
        </is>
      </c>
      <c r="D819" t="n">
        <v>1939</v>
      </c>
      <c r="E819" t="n">
        <v>62334</v>
      </c>
      <c r="F819" t="n">
        <v>32.14749871067561</v>
      </c>
      <c r="G819" t="n">
        <v>106.2727228829706</v>
      </c>
    </row>
    <row r="820">
      <c r="A820" t="inlineStr">
        <is>
          <t>鉄骨造</t>
        </is>
      </c>
      <c r="B820" t="inlineStr">
        <is>
          <t>病院・診療所</t>
        </is>
      </c>
      <c r="C820" t="inlineStr">
        <is>
          <t>令和4年5月分</t>
        </is>
      </c>
      <c r="D820" t="n">
        <v>0</v>
      </c>
      <c r="E820" t="n">
        <v>0</v>
      </c>
      <c r="F820" t="e">
        <v>#DIV/0!</v>
      </c>
      <c r="G820" t="e">
        <v>#DIV/0!</v>
      </c>
    </row>
    <row r="821">
      <c r="A821" t="inlineStr">
        <is>
          <t>鉄骨造</t>
        </is>
      </c>
      <c r="B821" t="inlineStr">
        <is>
          <t>病院・診療所</t>
        </is>
      </c>
      <c r="C821" t="inlineStr">
        <is>
          <t>令和4年6月分</t>
        </is>
      </c>
      <c r="D821" t="n">
        <v>0</v>
      </c>
      <c r="E821" t="n">
        <v>0</v>
      </c>
      <c r="F821" t="e">
        <v>#DIV/0!</v>
      </c>
      <c r="G821" t="e">
        <v>#DIV/0!</v>
      </c>
    </row>
    <row r="822">
      <c r="A822" t="inlineStr">
        <is>
          <t>鉄骨造</t>
        </is>
      </c>
      <c r="B822" t="inlineStr">
        <is>
          <t>病院・診療所</t>
        </is>
      </c>
      <c r="C822" t="inlineStr">
        <is>
          <t>令和4年7月分</t>
        </is>
      </c>
      <c r="D822" t="n">
        <v>0</v>
      </c>
      <c r="E822" t="n">
        <v>0</v>
      </c>
      <c r="F822" t="e">
        <v>#DIV/0!</v>
      </c>
      <c r="G822" t="e">
        <v>#DIV/0!</v>
      </c>
    </row>
    <row r="823">
      <c r="A823" t="inlineStr">
        <is>
          <t>鉄骨造</t>
        </is>
      </c>
      <c r="B823" t="inlineStr">
        <is>
          <t>病院・診療所</t>
        </is>
      </c>
      <c r="C823" t="inlineStr">
        <is>
          <t>令和4年8月分</t>
        </is>
      </c>
      <c r="D823" t="n">
        <v>0</v>
      </c>
      <c r="E823" t="n">
        <v>0</v>
      </c>
      <c r="F823" t="e">
        <v>#DIV/0!</v>
      </c>
      <c r="G823" t="e">
        <v>#DIV/0!</v>
      </c>
    </row>
    <row r="824">
      <c r="A824" t="inlineStr">
        <is>
          <t>鉄骨造</t>
        </is>
      </c>
      <c r="B824" t="inlineStr">
        <is>
          <t>病院・診療所</t>
        </is>
      </c>
      <c r="C824" t="inlineStr">
        <is>
          <t>令和4年9月分</t>
        </is>
      </c>
      <c r="D824" t="n">
        <v>0</v>
      </c>
      <c r="E824" t="n">
        <v>0</v>
      </c>
      <c r="F824" t="e">
        <v>#DIV/0!</v>
      </c>
      <c r="G824" t="e">
        <v>#DIV/0!</v>
      </c>
    </row>
    <row r="825">
      <c r="A825" t="inlineStr">
        <is>
          <t>鉄骨造</t>
        </is>
      </c>
      <c r="B825" t="inlineStr">
        <is>
          <t>病院・診療所</t>
        </is>
      </c>
      <c r="C825" t="inlineStr">
        <is>
          <t>令和4年10月分</t>
        </is>
      </c>
      <c r="D825" t="n">
        <v>884</v>
      </c>
      <c r="E825" t="n">
        <v>60000</v>
      </c>
      <c r="F825" t="n">
        <v>67.87330316742081</v>
      </c>
      <c r="G825" t="n">
        <v>224.3745556561086</v>
      </c>
    </row>
    <row r="826">
      <c r="A826" t="inlineStr">
        <is>
          <t>鉄骨造</t>
        </is>
      </c>
      <c r="B826" t="inlineStr">
        <is>
          <t>病院・診療所</t>
        </is>
      </c>
      <c r="C826" t="inlineStr">
        <is>
          <t>令和4年11月分</t>
        </is>
      </c>
      <c r="D826" t="n">
        <v>6369</v>
      </c>
      <c r="E826" t="n">
        <v>250000</v>
      </c>
      <c r="F826" t="n">
        <v>39.25262992620505</v>
      </c>
      <c r="G826" t="n">
        <v>129.7607599309154</v>
      </c>
    </row>
    <row r="827">
      <c r="A827" t="inlineStr">
        <is>
          <t>鉄骨造</t>
        </is>
      </c>
      <c r="B827" t="inlineStr">
        <is>
          <t>病院・診療所</t>
        </is>
      </c>
      <c r="C827" t="inlineStr">
        <is>
          <t>令和4年12月分</t>
        </is>
      </c>
      <c r="D827" t="n">
        <v>1333</v>
      </c>
      <c r="E827" t="n">
        <v>77000</v>
      </c>
      <c r="F827" t="n">
        <v>57.76444111027757</v>
      </c>
      <c r="G827" t="n">
        <v>190.9568298874719</v>
      </c>
    </row>
    <row r="828">
      <c r="A828" t="inlineStr">
        <is>
          <t>鉄骨造</t>
        </is>
      </c>
      <c r="B828" t="inlineStr">
        <is>
          <t>病院・診療所</t>
        </is>
      </c>
      <c r="C828" t="inlineStr">
        <is>
          <t>令和5年1月分</t>
        </is>
      </c>
      <c r="D828" t="n">
        <v>0</v>
      </c>
      <c r="E828" t="n">
        <v>0</v>
      </c>
      <c r="F828" t="e">
        <v>#DIV/0!</v>
      </c>
      <c r="G828" t="e">
        <v>#DIV/0!</v>
      </c>
    </row>
    <row r="829">
      <c r="A829" t="inlineStr">
        <is>
          <t>鉄骨造</t>
        </is>
      </c>
      <c r="B829" t="inlineStr">
        <is>
          <t>病院・診療所</t>
        </is>
      </c>
      <c r="C829" t="inlineStr">
        <is>
          <t>令和5年2月分</t>
        </is>
      </c>
      <c r="D829" t="n">
        <v>0</v>
      </c>
      <c r="E829" t="n">
        <v>0</v>
      </c>
      <c r="F829" t="e">
        <v>#DIV/0!</v>
      </c>
      <c r="G829" t="e">
        <v>#DIV/0!</v>
      </c>
    </row>
    <row r="830">
      <c r="A830" t="inlineStr">
        <is>
          <t>鉄骨造</t>
        </is>
      </c>
      <c r="B830" t="inlineStr">
        <is>
          <t>病院・診療所</t>
        </is>
      </c>
      <c r="C830" t="inlineStr">
        <is>
          <t>令和5年3月分</t>
        </is>
      </c>
      <c r="D830" t="n">
        <v>2687</v>
      </c>
      <c r="E830" t="n">
        <v>75000</v>
      </c>
      <c r="F830" t="n">
        <v>27.91216970599181</v>
      </c>
      <c r="G830" t="n">
        <v>92.27163528098251</v>
      </c>
    </row>
    <row r="831">
      <c r="A831" t="inlineStr">
        <is>
          <t>鉄骨造</t>
        </is>
      </c>
      <c r="B831" t="inlineStr">
        <is>
          <t>病院・診療所</t>
        </is>
      </c>
      <c r="C831" t="inlineStr">
        <is>
          <t>令和5年4月分</t>
        </is>
      </c>
      <c r="D831" t="n">
        <v>2893</v>
      </c>
      <c r="E831" t="n">
        <v>119500</v>
      </c>
      <c r="F831" t="n">
        <v>41.30660214310404</v>
      </c>
      <c r="G831" t="n">
        <v>136.5507507224335</v>
      </c>
    </row>
    <row r="832">
      <c r="A832" t="inlineStr">
        <is>
          <t>鉄骨造</t>
        </is>
      </c>
      <c r="B832" t="inlineStr">
        <is>
          <t>病院・診療所</t>
        </is>
      </c>
      <c r="C832" t="inlineStr">
        <is>
          <t>令和5年5月分</t>
        </is>
      </c>
      <c r="D832" t="n">
        <v>281</v>
      </c>
      <c r="E832" t="n">
        <v>9200</v>
      </c>
      <c r="F832" t="n">
        <v>32.74021352313167</v>
      </c>
      <c r="G832" t="n">
        <v>108.2321106903915</v>
      </c>
    </row>
    <row r="833">
      <c r="A833" t="inlineStr">
        <is>
          <t>鉄骨造</t>
        </is>
      </c>
      <c r="B833" t="inlineStr">
        <is>
          <t>病院・診療所</t>
        </is>
      </c>
      <c r="C833" t="inlineStr">
        <is>
          <t>令和5年6月分</t>
        </is>
      </c>
      <c r="D833" t="n">
        <v>1407</v>
      </c>
      <c r="E833" t="n">
        <v>50000</v>
      </c>
      <c r="F833" t="n">
        <v>35.53660270078181</v>
      </c>
      <c r="G833" t="n">
        <v>117.4763724235963</v>
      </c>
    </row>
    <row r="834">
      <c r="A834" t="inlineStr">
        <is>
          <t>鉄骨造</t>
        </is>
      </c>
      <c r="B834" t="inlineStr">
        <is>
          <t>病院・診療所</t>
        </is>
      </c>
      <c r="C834" t="inlineStr">
        <is>
          <t>令和5年7月分</t>
        </is>
      </c>
      <c r="D834" t="n">
        <v>211</v>
      </c>
      <c r="E834" t="n">
        <v>3500</v>
      </c>
      <c r="F834" t="n">
        <v>16.58767772511848</v>
      </c>
      <c r="G834" t="n">
        <v>54.83529819905213</v>
      </c>
    </row>
    <row r="835">
      <c r="A835" t="inlineStr">
        <is>
          <t>鉄骨造</t>
        </is>
      </c>
      <c r="B835" t="inlineStr">
        <is>
          <t>病院・診療所</t>
        </is>
      </c>
      <c r="C835" t="inlineStr">
        <is>
          <t>令和5年8月分</t>
        </is>
      </c>
      <c r="D835" t="n">
        <v>0</v>
      </c>
      <c r="E835" t="n">
        <v>0</v>
      </c>
      <c r="F835" t="e">
        <v>#DIV/0!</v>
      </c>
      <c r="G835" t="e">
        <v>#DIV/0!</v>
      </c>
    </row>
    <row r="836">
      <c r="A836" t="inlineStr">
        <is>
          <t>鉄骨造</t>
        </is>
      </c>
      <c r="B836" t="inlineStr">
        <is>
          <t>病院・診療所</t>
        </is>
      </c>
      <c r="C836" t="inlineStr">
        <is>
          <t>令和5年9月分</t>
        </is>
      </c>
      <c r="D836" t="n">
        <v>0</v>
      </c>
      <c r="E836" t="n">
        <v>0</v>
      </c>
      <c r="F836" t="e">
        <v>#DIV/0!</v>
      </c>
      <c r="G836" t="e">
        <v>#DIV/0!</v>
      </c>
    </row>
    <row r="837">
      <c r="A837" t="inlineStr">
        <is>
          <t>鉄骨造</t>
        </is>
      </c>
      <c r="B837" t="inlineStr">
        <is>
          <t>病院・診療所</t>
        </is>
      </c>
      <c r="C837" t="inlineStr">
        <is>
          <t>令和5年10月分</t>
        </is>
      </c>
      <c r="D837" t="n">
        <v>0</v>
      </c>
      <c r="E837" t="n">
        <v>0</v>
      </c>
      <c r="F837" t="e">
        <v>#DIV/0!</v>
      </c>
      <c r="G837" t="e">
        <v>#DIV/0!</v>
      </c>
    </row>
    <row r="838">
      <c r="A838" t="inlineStr">
        <is>
          <t>鉄骨造</t>
        </is>
      </c>
      <c r="B838" t="inlineStr">
        <is>
          <t>病院・診療所</t>
        </is>
      </c>
      <c r="C838" t="inlineStr">
        <is>
          <t>令和5年11月分</t>
        </is>
      </c>
      <c r="D838" t="n">
        <v>0</v>
      </c>
      <c r="E838" t="n">
        <v>0</v>
      </c>
      <c r="F838" t="e">
        <v>#DIV/0!</v>
      </c>
      <c r="G838" t="e">
        <v>#DIV/0!</v>
      </c>
    </row>
    <row r="839">
      <c r="A839" t="inlineStr">
        <is>
          <t>鉄骨造</t>
        </is>
      </c>
      <c r="B839" t="inlineStr">
        <is>
          <t>病院・診療所</t>
        </is>
      </c>
      <c r="C839" t="inlineStr">
        <is>
          <t>令和5年12月分</t>
        </is>
      </c>
      <c r="D839" t="n">
        <v>0</v>
      </c>
      <c r="E839" t="n">
        <v>0</v>
      </c>
      <c r="F839" t="e">
        <v>#DIV/0!</v>
      </c>
      <c r="G839" t="e">
        <v>#DIV/0!</v>
      </c>
    </row>
    <row r="840">
      <c r="A840" t="inlineStr">
        <is>
          <t>鉄骨造</t>
        </is>
      </c>
      <c r="B840" t="inlineStr">
        <is>
          <t>病院・診療所</t>
        </is>
      </c>
      <c r="C840" t="inlineStr">
        <is>
          <t>令和6年1月分</t>
        </is>
      </c>
      <c r="D840" t="n">
        <v>0</v>
      </c>
      <c r="E840" t="n">
        <v>0</v>
      </c>
      <c r="F840" t="e">
        <v>#DIV/0!</v>
      </c>
      <c r="G840" t="e">
        <v>#DIV/0!</v>
      </c>
    </row>
    <row r="841">
      <c r="A841" t="inlineStr">
        <is>
          <t>鉄骨造</t>
        </is>
      </c>
      <c r="B841" t="inlineStr">
        <is>
          <t>病院・診療所</t>
        </is>
      </c>
      <c r="C841" t="inlineStr">
        <is>
          <t>令和6年2月分</t>
        </is>
      </c>
      <c r="D841" t="n">
        <v>645</v>
      </c>
      <c r="E841" t="n">
        <v>18000</v>
      </c>
      <c r="F841" t="n">
        <v>27.90697674418605</v>
      </c>
      <c r="G841" t="n">
        <v>92.25446846511628</v>
      </c>
    </row>
    <row r="842">
      <c r="A842" t="inlineStr">
        <is>
          <t>鉄骨造</t>
        </is>
      </c>
      <c r="B842" t="inlineStr">
        <is>
          <t>病院・診療所</t>
        </is>
      </c>
      <c r="C842" t="inlineStr">
        <is>
          <t>令和6年3月分</t>
        </is>
      </c>
      <c r="D842" t="n">
        <v>0</v>
      </c>
      <c r="E842" t="n">
        <v>0</v>
      </c>
      <c r="F842" t="e">
        <v>#DIV/0!</v>
      </c>
      <c r="G842" t="e">
        <v>#DIV/0!</v>
      </c>
    </row>
    <row r="843">
      <c r="A843" t="inlineStr">
        <is>
          <t>鉄骨造</t>
        </is>
      </c>
      <c r="B843" t="inlineStr">
        <is>
          <t>病院・診療所</t>
        </is>
      </c>
      <c r="C843" t="inlineStr">
        <is>
          <t>令和6年4月分</t>
        </is>
      </c>
      <c r="D843" t="n">
        <v>0</v>
      </c>
      <c r="E843" t="n">
        <v>0</v>
      </c>
      <c r="F843" t="e">
        <v>#DIV/0!</v>
      </c>
      <c r="G843" t="e">
        <v>#DIV/0!</v>
      </c>
    </row>
    <row r="844">
      <c r="A844" t="inlineStr">
        <is>
          <t>鉄骨造</t>
        </is>
      </c>
      <c r="B844" t="inlineStr">
        <is>
          <t>病院・診療所</t>
        </is>
      </c>
      <c r="C844" t="inlineStr">
        <is>
          <t>令和6年5月分</t>
        </is>
      </c>
      <c r="D844" t="n">
        <v>0</v>
      </c>
      <c r="E844" t="n">
        <v>0</v>
      </c>
      <c r="F844" t="e">
        <v>#DIV/0!</v>
      </c>
      <c r="G844" t="e">
        <v>#DIV/0!</v>
      </c>
    </row>
    <row r="845">
      <c r="A845" t="inlineStr">
        <is>
          <t>鉄骨造</t>
        </is>
      </c>
      <c r="B845" t="inlineStr">
        <is>
          <t>病院・診療所</t>
        </is>
      </c>
      <c r="C845" t="inlineStr">
        <is>
          <t>令和6年6月分</t>
        </is>
      </c>
      <c r="D845" t="n">
        <v>2493</v>
      </c>
      <c r="E845" t="n">
        <v>94957</v>
      </c>
      <c r="F845" t="n">
        <v>38.08945046129162</v>
      </c>
      <c r="G845" t="n">
        <v>125.915538563915</v>
      </c>
    </row>
    <row r="846">
      <c r="A846" t="inlineStr">
        <is>
          <t>鉄骨造</t>
        </is>
      </c>
      <c r="B846" t="inlineStr">
        <is>
          <t>病院・診療所</t>
        </is>
      </c>
      <c r="C846" t="inlineStr">
        <is>
          <t>令和6年7月分</t>
        </is>
      </c>
      <c r="D846" t="n">
        <v>997</v>
      </c>
      <c r="E846" t="n">
        <v>24000</v>
      </c>
      <c r="F846" t="n">
        <v>24.07221664994985</v>
      </c>
      <c r="G846" t="n">
        <v>79.57757560682046</v>
      </c>
    </row>
    <row r="847">
      <c r="A847" t="inlineStr">
        <is>
          <t>鉄骨造</t>
        </is>
      </c>
      <c r="B847" t="inlineStr">
        <is>
          <t>病院・診療所</t>
        </is>
      </c>
      <c r="C847" t="inlineStr">
        <is>
          <t>令和6年8月分</t>
        </is>
      </c>
      <c r="D847" t="n">
        <v>2372</v>
      </c>
      <c r="E847" t="n">
        <v>106000</v>
      </c>
      <c r="F847" t="n">
        <v>44.68802698145025</v>
      </c>
      <c r="G847" t="n">
        <v>147.7290146374367</v>
      </c>
    </row>
    <row r="848">
      <c r="A848" t="inlineStr">
        <is>
          <t>鉄骨造</t>
        </is>
      </c>
      <c r="B848" t="inlineStr">
        <is>
          <t>病院・診療所</t>
        </is>
      </c>
      <c r="C848" t="inlineStr">
        <is>
          <t>令和6年9月分</t>
        </is>
      </c>
      <c r="D848" t="n">
        <v>4067</v>
      </c>
      <c r="E848" t="n">
        <v>160000</v>
      </c>
      <c r="F848" t="n">
        <v>39.34103761986722</v>
      </c>
      <c r="G848" t="n">
        <v>130.0530167691173</v>
      </c>
    </row>
    <row r="849">
      <c r="A849" t="inlineStr">
        <is>
          <t>鉄骨造</t>
        </is>
      </c>
      <c r="B849" t="inlineStr">
        <is>
          <t>病院・診療所</t>
        </is>
      </c>
      <c r="C849" t="inlineStr">
        <is>
          <t>令和6年10月分</t>
        </is>
      </c>
      <c r="D849" t="n">
        <v>0</v>
      </c>
      <c r="E849" t="n">
        <v>0</v>
      </c>
      <c r="F849" t="e">
        <v>#DIV/0!</v>
      </c>
      <c r="G849" t="e">
        <v>#DIV/0!</v>
      </c>
    </row>
    <row r="850">
      <c r="A850" t="inlineStr">
        <is>
          <t>鉄骨造</t>
        </is>
      </c>
      <c r="B850" t="inlineStr">
        <is>
          <t>病院・診療所</t>
        </is>
      </c>
      <c r="C850" t="inlineStr">
        <is>
          <t>令和6年11月分</t>
        </is>
      </c>
      <c r="D850" t="n">
        <v>0</v>
      </c>
      <c r="E850" t="n">
        <v>0</v>
      </c>
      <c r="F850" t="e">
        <v>#DIV/0!</v>
      </c>
      <c r="G850" t="e">
        <v>#DIV/0!</v>
      </c>
    </row>
    <row r="851">
      <c r="A851" t="inlineStr">
        <is>
          <t>鉄骨造</t>
        </is>
      </c>
      <c r="B851" t="inlineStr">
        <is>
          <t>病院・診療所</t>
        </is>
      </c>
      <c r="C851" t="inlineStr">
        <is>
          <t>令和6年12月分</t>
        </is>
      </c>
      <c r="D851" t="n">
        <v>110</v>
      </c>
      <c r="E851" t="n">
        <v>5000</v>
      </c>
      <c r="F851" t="n">
        <v>45.45454545454545</v>
      </c>
      <c r="G851" t="n">
        <v>150.26296</v>
      </c>
    </row>
    <row r="852">
      <c r="A852" t="inlineStr">
        <is>
          <t>鉄骨造</t>
        </is>
      </c>
      <c r="B852" t="inlineStr">
        <is>
          <t>病院・診療所</t>
        </is>
      </c>
      <c r="C852" t="inlineStr">
        <is>
          <t>令和7年1月分</t>
        </is>
      </c>
      <c r="D852" t="n">
        <v>764</v>
      </c>
      <c r="E852" t="n">
        <v>27506.52726</v>
      </c>
      <c r="F852" t="n">
        <v>36.00330793193717</v>
      </c>
      <c r="G852" t="n">
        <v>119.0191996321759</v>
      </c>
    </row>
    <row r="853">
      <c r="A853" t="inlineStr">
        <is>
          <t>鉄骨造</t>
        </is>
      </c>
      <c r="B853" t="inlineStr">
        <is>
          <t>病院・診療所</t>
        </is>
      </c>
      <c r="C853" t="inlineStr">
        <is>
          <t>令和7年2月分</t>
        </is>
      </c>
      <c r="D853" t="n">
        <v>18372</v>
      </c>
      <c r="E853" t="n">
        <v>1040804.5317</v>
      </c>
      <c r="F853" t="n">
        <v>56.65167274657087</v>
      </c>
      <c r="G853" t="n">
        <v>187.2782567887235</v>
      </c>
    </row>
    <row r="854">
      <c r="A854" t="inlineStr">
        <is>
          <t>鉄骨造</t>
        </is>
      </c>
      <c r="B854" t="inlineStr">
        <is>
          <t>病院・診療所</t>
        </is>
      </c>
      <c r="C854" t="inlineStr">
        <is>
          <t>令和7年3月分</t>
        </is>
      </c>
      <c r="D854" t="n">
        <v>5564</v>
      </c>
      <c r="E854" t="n">
        <v>234829.84823</v>
      </c>
      <c r="F854" t="n">
        <v>42.20522074586628</v>
      </c>
      <c r="G854" t="n">
        <v>139.5213907280001</v>
      </c>
    </row>
    <row r="855">
      <c r="A855" t="inlineStr">
        <is>
          <t>鉄骨造</t>
        </is>
      </c>
      <c r="B855" t="inlineStr">
        <is>
          <t>病院・診療所</t>
        </is>
      </c>
      <c r="C855" t="inlineStr">
        <is>
          <t>令和7年4月分</t>
        </is>
      </c>
      <c r="D855" t="n">
        <v>5147</v>
      </c>
      <c r="E855" t="n">
        <v>240459.30811</v>
      </c>
      <c r="F855" t="n">
        <v>46.71834235671265</v>
      </c>
      <c r="G855" t="n">
        <v>154.4408009938864</v>
      </c>
    </row>
    <row r="856">
      <c r="A856" t="inlineStr">
        <is>
          <t>鉄骨造</t>
        </is>
      </c>
      <c r="B856" t="inlineStr">
        <is>
          <t>病院・診療所</t>
        </is>
      </c>
      <c r="C856" t="inlineStr">
        <is>
          <t>令和7年5月分</t>
        </is>
      </c>
      <c r="D856" t="n">
        <v>4373</v>
      </c>
      <c r="E856" t="n">
        <v>164206.49811</v>
      </c>
      <c r="F856" t="n">
        <v>37.55007960439058</v>
      </c>
      <c r="G856" t="n">
        <v>124.1324944110098</v>
      </c>
    </row>
    <row r="857">
      <c r="A857" t="inlineStr">
        <is>
          <t>鉄骨造</t>
        </is>
      </c>
      <c r="B857" t="inlineStr">
        <is>
          <t>病院・診療所</t>
        </is>
      </c>
      <c r="C857" t="inlineStr">
        <is>
          <t>令和7年6月分</t>
        </is>
      </c>
      <c r="D857" t="n">
        <v>2404</v>
      </c>
      <c r="E857" t="n">
        <v>146302.38671</v>
      </c>
      <c r="F857" t="n">
        <v>60.85789796589018</v>
      </c>
      <c r="G857" t="n">
        <v>201.183133530118</v>
      </c>
    </row>
    <row r="858">
      <c r="A858" t="inlineStr">
        <is>
          <t>鉄骨造</t>
        </is>
      </c>
      <c r="B858" t="inlineStr">
        <is>
          <t>病院・診療所</t>
        </is>
      </c>
      <c r="C858" t="inlineStr">
        <is>
          <t>令和7年7月分</t>
        </is>
      </c>
      <c r="D858" t="n">
        <v>2384</v>
      </c>
      <c r="E858" t="n">
        <v>78753.64837</v>
      </c>
      <c r="F858" t="n">
        <v>33.03424847734899</v>
      </c>
      <c r="G858" t="n">
        <v>109.2041270668029</v>
      </c>
    </row>
    <row r="859">
      <c r="A859" t="inlineStr">
        <is>
          <t>鉄骨造</t>
        </is>
      </c>
      <c r="B859" t="inlineStr">
        <is>
          <t>病院・診療所</t>
        </is>
      </c>
      <c r="C859" t="inlineStr">
        <is>
          <t>令和7年8月分</t>
        </is>
      </c>
      <c r="D859" t="n">
        <v>1108</v>
      </c>
      <c r="E859" t="n">
        <v>45521.62633</v>
      </c>
      <c r="F859" t="n">
        <v>41.08450029783393</v>
      </c>
      <c r="G859" t="n">
        <v>135.816529747215</v>
      </c>
    </row>
    <row r="860">
      <c r="A860" t="inlineStr">
        <is>
          <t>鉄骨造</t>
        </is>
      </c>
      <c r="B860" t="inlineStr">
        <is>
          <t>病院・診療所</t>
        </is>
      </c>
      <c r="C860" t="inlineStr">
        <is>
          <t>令和7年8月分</t>
        </is>
      </c>
      <c r="D860" t="n">
        <v>2032</v>
      </c>
      <c r="E860" t="n">
        <v>79696.48359</v>
      </c>
      <c r="F860" t="n">
        <v>39.22071042814961</v>
      </c>
      <c r="G860" t="n">
        <v>129.6552409292058</v>
      </c>
    </row>
    <row r="861">
      <c r="A861" t="inlineStr">
        <is>
          <t>鉄骨造</t>
        </is>
      </c>
      <c r="B861" t="inlineStr">
        <is>
          <t>病院・診療所</t>
        </is>
      </c>
      <c r="C861" t="inlineStr">
        <is>
          <t>令和7年8月分</t>
        </is>
      </c>
      <c r="D861" t="n">
        <v>2262</v>
      </c>
      <c r="E861" t="n">
        <v>101251.17323</v>
      </c>
      <c r="F861" t="n">
        <v>44.76179187886826</v>
      </c>
      <c r="G861" t="n">
        <v>147.9728655376995</v>
      </c>
    </row>
    <row r="862">
      <c r="A862" t="inlineStr">
        <is>
          <t>鉄骨造</t>
        </is>
      </c>
      <c r="B862" t="inlineStr">
        <is>
          <t>病院・診療所</t>
        </is>
      </c>
      <c r="C862" t="inlineStr">
        <is>
          <t>令和7年8月分</t>
        </is>
      </c>
      <c r="D862" t="n">
        <v>1931</v>
      </c>
      <c r="E862" t="n">
        <v>62026</v>
      </c>
      <c r="F862" t="n">
        <v>32.12118073537027</v>
      </c>
      <c r="G862" t="n">
        <v>106.1857213118177</v>
      </c>
    </row>
    <row r="863">
      <c r="A863" t="inlineStr">
        <is>
          <t>鉄骨造</t>
        </is>
      </c>
      <c r="B863" t="inlineStr">
        <is>
          <t>その他</t>
        </is>
      </c>
      <c r="C863" t="inlineStr">
        <is>
          <t>2015（基準）</t>
        </is>
      </c>
      <c r="D863" t="n">
        <v>135960</v>
      </c>
      <c r="E863" t="n">
        <v>3178924</v>
      </c>
      <c r="F863" t="n">
        <v>23.38131803471609</v>
      </c>
      <c r="G863" t="n">
        <v>77.2936132451521</v>
      </c>
    </row>
    <row r="864">
      <c r="A864" t="inlineStr">
        <is>
          <t>鉄骨造</t>
        </is>
      </c>
      <c r="B864" t="inlineStr">
        <is>
          <t>その他</t>
        </is>
      </c>
      <c r="C864" t="inlineStr">
        <is>
          <t>令和4年1月分</t>
        </is>
      </c>
      <c r="D864" t="n">
        <v>74402</v>
      </c>
      <c r="E864" t="n">
        <v>2527876</v>
      </c>
      <c r="F864" t="n">
        <v>33.97591462595091</v>
      </c>
      <c r="G864" t="n">
        <v>112.3170730088589</v>
      </c>
    </row>
    <row r="865">
      <c r="A865" t="inlineStr">
        <is>
          <t>鉄骨造</t>
        </is>
      </c>
      <c r="B865" t="inlineStr">
        <is>
          <t>その他</t>
        </is>
      </c>
      <c r="C865" t="inlineStr">
        <is>
          <t>令和4年2月分</t>
        </is>
      </c>
      <c r="D865" t="n">
        <v>29901</v>
      </c>
      <c r="E865" t="n">
        <v>381930</v>
      </c>
      <c r="F865" t="n">
        <v>12.77315139961874</v>
      </c>
      <c r="G865" t="n">
        <v>42.22529383236681</v>
      </c>
    </row>
    <row r="866">
      <c r="A866" t="inlineStr">
        <is>
          <t>鉄骨造</t>
        </is>
      </c>
      <c r="B866" t="inlineStr">
        <is>
          <t>その他</t>
        </is>
      </c>
      <c r="C866" t="inlineStr">
        <is>
          <t>令和4年3月分</t>
        </is>
      </c>
      <c r="D866" t="n">
        <v>16458</v>
      </c>
      <c r="E866" t="n">
        <v>463500</v>
      </c>
      <c r="F866" t="n">
        <v>28.16259569814072</v>
      </c>
      <c r="G866" t="n">
        <v>93.09948979948962</v>
      </c>
    </row>
    <row r="867">
      <c r="A867" t="inlineStr">
        <is>
          <t>鉄骨造</t>
        </is>
      </c>
      <c r="B867" t="inlineStr">
        <is>
          <t>その他</t>
        </is>
      </c>
      <c r="C867" t="inlineStr">
        <is>
          <t>令和4年4月分</t>
        </is>
      </c>
      <c r="D867" t="n">
        <v>3637</v>
      </c>
      <c r="E867" t="n">
        <v>28850</v>
      </c>
      <c r="F867" t="n">
        <v>7.932361836678581</v>
      </c>
      <c r="G867" t="n">
        <v>26.22268372614792</v>
      </c>
    </row>
    <row r="868">
      <c r="A868" t="inlineStr">
        <is>
          <t>鉄骨造</t>
        </is>
      </c>
      <c r="B868" t="inlineStr">
        <is>
          <t>その他</t>
        </is>
      </c>
      <c r="C868" t="inlineStr">
        <is>
          <t>令和4年5月分</t>
        </is>
      </c>
      <c r="D868" t="n">
        <v>21600</v>
      </c>
      <c r="E868" t="n">
        <v>787690</v>
      </c>
      <c r="F868" t="n">
        <v>36.46712962962963</v>
      </c>
      <c r="G868" t="n">
        <v>120.5524944987407</v>
      </c>
    </row>
    <row r="869">
      <c r="A869" t="inlineStr">
        <is>
          <t>鉄骨造</t>
        </is>
      </c>
      <c r="B869" t="inlineStr">
        <is>
          <t>その他</t>
        </is>
      </c>
      <c r="C869" t="inlineStr">
        <is>
          <t>令和4年6月分</t>
        </is>
      </c>
      <c r="D869" t="n">
        <v>27059</v>
      </c>
      <c r="E869" t="n">
        <v>635736</v>
      </c>
      <c r="F869" t="n">
        <v>23.49443807975165</v>
      </c>
      <c r="G869" t="n">
        <v>77.66756380680438</v>
      </c>
    </row>
    <row r="870">
      <c r="A870" t="inlineStr">
        <is>
          <t>鉄骨造</t>
        </is>
      </c>
      <c r="B870" t="inlineStr">
        <is>
          <t>その他</t>
        </is>
      </c>
      <c r="C870" t="inlineStr">
        <is>
          <t>令和4年7月分</t>
        </is>
      </c>
      <c r="D870" t="n">
        <v>198678</v>
      </c>
      <c r="E870" t="n">
        <v>8486500</v>
      </c>
      <c r="F870" t="n">
        <v>42.71484512628474</v>
      </c>
      <c r="G870" t="n">
        <v>141.2060994215766</v>
      </c>
    </row>
    <row r="871">
      <c r="A871" t="inlineStr">
        <is>
          <t>鉄骨造</t>
        </is>
      </c>
      <c r="B871" t="inlineStr">
        <is>
          <t>その他</t>
        </is>
      </c>
      <c r="C871" t="inlineStr">
        <is>
          <t>令和4年8月分</t>
        </is>
      </c>
      <c r="D871" t="n">
        <v>29234</v>
      </c>
      <c r="E871" t="n">
        <v>1400854</v>
      </c>
      <c r="F871" t="n">
        <v>47.918656359034</v>
      </c>
      <c r="G871" t="n">
        <v>158.408781162088</v>
      </c>
    </row>
    <row r="872">
      <c r="A872" t="inlineStr">
        <is>
          <t>鉄骨造</t>
        </is>
      </c>
      <c r="B872" t="inlineStr">
        <is>
          <t>その他</t>
        </is>
      </c>
      <c r="C872" t="inlineStr">
        <is>
          <t>令和4年9月分</t>
        </is>
      </c>
      <c r="D872" t="n">
        <v>15861</v>
      </c>
      <c r="E872" t="n">
        <v>794396</v>
      </c>
      <c r="F872" t="n">
        <v>50.08486224071622</v>
      </c>
      <c r="G872" t="n">
        <v>165.5697923326095</v>
      </c>
    </row>
    <row r="873">
      <c r="A873" t="inlineStr">
        <is>
          <t>鉄骨造</t>
        </is>
      </c>
      <c r="B873" t="inlineStr">
        <is>
          <t>その他</t>
        </is>
      </c>
      <c r="C873" t="inlineStr">
        <is>
          <t>令和4年10月分</t>
        </is>
      </c>
      <c r="D873" t="n">
        <v>10824</v>
      </c>
      <c r="E873" t="n">
        <v>324500</v>
      </c>
      <c r="F873" t="n">
        <v>29.97967479674797</v>
      </c>
      <c r="G873" t="n">
        <v>99.10636284552845</v>
      </c>
    </row>
    <row r="874">
      <c r="A874" t="inlineStr">
        <is>
          <t>鉄骨造</t>
        </is>
      </c>
      <c r="B874" t="inlineStr">
        <is>
          <t>その他</t>
        </is>
      </c>
      <c r="C874" t="inlineStr">
        <is>
          <t>令和4年11月分</t>
        </is>
      </c>
      <c r="D874" t="n">
        <v>28749</v>
      </c>
      <c r="E874" t="n">
        <v>1146850</v>
      </c>
      <c r="F874" t="n">
        <v>39.89182232425475</v>
      </c>
      <c r="G874" t="n">
        <v>131.8737926492052</v>
      </c>
    </row>
    <row r="875">
      <c r="A875" t="inlineStr">
        <is>
          <t>鉄骨造</t>
        </is>
      </c>
      <c r="B875" t="inlineStr">
        <is>
          <t>その他</t>
        </is>
      </c>
      <c r="C875" t="inlineStr">
        <is>
          <t>令和4年12月分</t>
        </is>
      </c>
      <c r="D875" t="n">
        <v>21809</v>
      </c>
      <c r="E875" t="n">
        <v>784500</v>
      </c>
      <c r="F875" t="n">
        <v>35.97138795909945</v>
      </c>
      <c r="G875" t="n">
        <v>118.9136790609381</v>
      </c>
    </row>
    <row r="876">
      <c r="A876" t="inlineStr">
        <is>
          <t>鉄骨造</t>
        </is>
      </c>
      <c r="B876" t="inlineStr">
        <is>
          <t>その他</t>
        </is>
      </c>
      <c r="C876" t="inlineStr">
        <is>
          <t>令和5年1月分</t>
        </is>
      </c>
      <c r="D876" t="n">
        <v>3467</v>
      </c>
      <c r="E876" t="n">
        <v>190000</v>
      </c>
      <c r="F876" t="n">
        <v>54.80242284395731</v>
      </c>
      <c r="G876" t="n">
        <v>181.1650339775022</v>
      </c>
    </row>
    <row r="877">
      <c r="A877" t="inlineStr">
        <is>
          <t>鉄骨造</t>
        </is>
      </c>
      <c r="B877" t="inlineStr">
        <is>
          <t>その他</t>
        </is>
      </c>
      <c r="C877" t="inlineStr">
        <is>
          <t>令和5年2月分</t>
        </is>
      </c>
      <c r="D877" t="n">
        <v>20851</v>
      </c>
      <c r="E877" t="n">
        <v>362000</v>
      </c>
      <c r="F877" t="n">
        <v>17.36127763656419</v>
      </c>
      <c r="G877" t="n">
        <v>57.39265327514268</v>
      </c>
    </row>
    <row r="878">
      <c r="A878" t="inlineStr">
        <is>
          <t>鉄骨造</t>
        </is>
      </c>
      <c r="B878" t="inlineStr">
        <is>
          <t>その他</t>
        </is>
      </c>
      <c r="C878" t="inlineStr">
        <is>
          <t>令和5年3月分</t>
        </is>
      </c>
      <c r="D878" t="n">
        <v>9167</v>
      </c>
      <c r="E878" t="n">
        <v>242131</v>
      </c>
      <c r="F878" t="n">
        <v>26.41333042434821</v>
      </c>
      <c r="G878" t="n">
        <v>87.31679468645359</v>
      </c>
    </row>
    <row r="879">
      <c r="A879" t="inlineStr">
        <is>
          <t>鉄骨造</t>
        </is>
      </c>
      <c r="B879" t="inlineStr">
        <is>
          <t>その他</t>
        </is>
      </c>
      <c r="C879" t="inlineStr">
        <is>
          <t>令和5年4月分</t>
        </is>
      </c>
      <c r="D879" t="n">
        <v>18028</v>
      </c>
      <c r="E879" t="n">
        <v>613890</v>
      </c>
      <c r="F879" t="n">
        <v>34.05203017528289</v>
      </c>
      <c r="G879" t="n">
        <v>112.5686946592412</v>
      </c>
    </row>
    <row r="880">
      <c r="A880" t="inlineStr">
        <is>
          <t>鉄骨造</t>
        </is>
      </c>
      <c r="B880" t="inlineStr">
        <is>
          <t>その他</t>
        </is>
      </c>
      <c r="C880" t="inlineStr">
        <is>
          <t>令和5年5月分</t>
        </is>
      </c>
      <c r="D880" t="n">
        <v>11905</v>
      </c>
      <c r="E880" t="n">
        <v>234000</v>
      </c>
      <c r="F880" t="n">
        <v>19.65560688786224</v>
      </c>
      <c r="G880" t="n">
        <v>64.9772127744645</v>
      </c>
    </row>
    <row r="881">
      <c r="A881" t="inlineStr">
        <is>
          <t>鉄骨造</t>
        </is>
      </c>
      <c r="B881" t="inlineStr">
        <is>
          <t>その他</t>
        </is>
      </c>
      <c r="C881" t="inlineStr">
        <is>
          <t>令和5年6月分</t>
        </is>
      </c>
      <c r="D881" t="n">
        <v>3396</v>
      </c>
      <c r="E881" t="n">
        <v>64100</v>
      </c>
      <c r="F881" t="n">
        <v>18.87514723203769</v>
      </c>
      <c r="G881" t="n">
        <v>62.39718085747938</v>
      </c>
    </row>
    <row r="882">
      <c r="A882" t="inlineStr">
        <is>
          <t>鉄骨造</t>
        </is>
      </c>
      <c r="B882" t="inlineStr">
        <is>
          <t>その他</t>
        </is>
      </c>
      <c r="C882" t="inlineStr">
        <is>
          <t>令和5年7月分</t>
        </is>
      </c>
      <c r="D882" t="n">
        <v>14435</v>
      </c>
      <c r="E882" t="n">
        <v>440600</v>
      </c>
      <c r="F882" t="n">
        <v>30.52303429165223</v>
      </c>
      <c r="G882" t="n">
        <v>100.9025925785937</v>
      </c>
    </row>
    <row r="883">
      <c r="A883" t="inlineStr">
        <is>
          <t>鉄骨造</t>
        </is>
      </c>
      <c r="B883" t="inlineStr">
        <is>
          <t>その他</t>
        </is>
      </c>
      <c r="C883" t="inlineStr">
        <is>
          <t>令和5年8月分</t>
        </is>
      </c>
      <c r="D883" t="n">
        <v>33051</v>
      </c>
      <c r="E883" t="n">
        <v>1460171</v>
      </c>
      <c r="F883" t="n">
        <v>44.17932891591782</v>
      </c>
      <c r="G883" t="n">
        <v>146.0473681418269</v>
      </c>
    </row>
    <row r="884">
      <c r="A884" t="inlineStr">
        <is>
          <t>鉄骨造</t>
        </is>
      </c>
      <c r="B884" t="inlineStr">
        <is>
          <t>その他</t>
        </is>
      </c>
      <c r="C884" t="inlineStr">
        <is>
          <t>令和5年9月分</t>
        </is>
      </c>
      <c r="D884" t="n">
        <v>15987</v>
      </c>
      <c r="E884" t="n">
        <v>433798</v>
      </c>
      <c r="F884" t="n">
        <v>27.13442171764559</v>
      </c>
      <c r="G884" t="n">
        <v>89.70056755399762</v>
      </c>
    </row>
    <row r="885">
      <c r="A885" t="inlineStr">
        <is>
          <t>鉄骨造</t>
        </is>
      </c>
      <c r="B885" t="inlineStr">
        <is>
          <t>その他</t>
        </is>
      </c>
      <c r="C885" t="inlineStr">
        <is>
          <t>令和5年10月分</t>
        </is>
      </c>
      <c r="D885" t="n">
        <v>11224</v>
      </c>
      <c r="E885" t="n">
        <v>341686</v>
      </c>
      <c r="F885" t="n">
        <v>30.44244476122594</v>
      </c>
      <c r="G885" t="n">
        <v>100.6361809080827</v>
      </c>
    </row>
    <row r="886">
      <c r="A886" t="inlineStr">
        <is>
          <t>鉄骨造</t>
        </is>
      </c>
      <c r="B886" t="inlineStr">
        <is>
          <t>その他</t>
        </is>
      </c>
      <c r="C886" t="inlineStr">
        <is>
          <t>令和5年11月分</t>
        </is>
      </c>
      <c r="D886" t="n">
        <v>5442</v>
      </c>
      <c r="E886" t="n">
        <v>201445</v>
      </c>
      <c r="F886" t="n">
        <v>37.01672179345829</v>
      </c>
      <c r="G886" t="n">
        <v>122.3693280959941</v>
      </c>
    </row>
    <row r="887">
      <c r="A887" t="inlineStr">
        <is>
          <t>鉄骨造</t>
        </is>
      </c>
      <c r="B887" t="inlineStr">
        <is>
          <t>その他</t>
        </is>
      </c>
      <c r="C887" t="inlineStr">
        <is>
          <t>令和5年12月分</t>
        </is>
      </c>
      <c r="D887" t="n">
        <v>56975</v>
      </c>
      <c r="E887" t="n">
        <v>3125654</v>
      </c>
      <c r="F887" t="n">
        <v>54.86009653356735</v>
      </c>
      <c r="G887" t="n">
        <v>181.3556908024305</v>
      </c>
    </row>
    <row r="888">
      <c r="A888" t="inlineStr">
        <is>
          <t>鉄骨造</t>
        </is>
      </c>
      <c r="B888" t="inlineStr">
        <is>
          <t>その他</t>
        </is>
      </c>
      <c r="C888" t="inlineStr">
        <is>
          <t>令和6年1月分</t>
        </is>
      </c>
      <c r="D888" t="n">
        <v>19206</v>
      </c>
      <c r="E888" t="n">
        <v>606890</v>
      </c>
      <c r="F888" t="n">
        <v>31.59897948557742</v>
      </c>
      <c r="G888" t="n">
        <v>104.4594361906071</v>
      </c>
    </row>
    <row r="889">
      <c r="A889" t="inlineStr">
        <is>
          <t>鉄骨造</t>
        </is>
      </c>
      <c r="B889" t="inlineStr">
        <is>
          <t>その他</t>
        </is>
      </c>
      <c r="C889" t="inlineStr">
        <is>
          <t>令和6年2月分</t>
        </is>
      </c>
      <c r="D889" t="n">
        <v>18184</v>
      </c>
      <c r="E889" t="n">
        <v>1719000</v>
      </c>
      <c r="F889" t="n">
        <v>94.53365596128465</v>
      </c>
      <c r="G889" t="n">
        <v>312.5079532160141</v>
      </c>
    </row>
    <row r="890">
      <c r="A890" t="inlineStr">
        <is>
          <t>鉄骨造</t>
        </is>
      </c>
      <c r="B890" t="inlineStr">
        <is>
          <t>その他</t>
        </is>
      </c>
      <c r="C890" t="inlineStr">
        <is>
          <t>令和6年3月分</t>
        </is>
      </c>
      <c r="D890" t="n">
        <v>16932</v>
      </c>
      <c r="E890" t="n">
        <v>636100</v>
      </c>
      <c r="F890" t="n">
        <v>37.56791873375856</v>
      </c>
      <c r="G890" t="n">
        <v>124.1914667394283</v>
      </c>
    </row>
    <row r="891">
      <c r="A891" t="inlineStr">
        <is>
          <t>鉄骨造</t>
        </is>
      </c>
      <c r="B891" t="inlineStr">
        <is>
          <t>その他</t>
        </is>
      </c>
      <c r="C891" t="inlineStr">
        <is>
          <t>令和6年4月分</t>
        </is>
      </c>
      <c r="D891" t="n">
        <v>126628</v>
      </c>
      <c r="E891" t="n">
        <v>8484650</v>
      </c>
      <c r="F891" t="n">
        <v>67.00453296269387</v>
      </c>
      <c r="G891" t="n">
        <v>221.5025880406229</v>
      </c>
    </row>
    <row r="892">
      <c r="A892" t="inlineStr">
        <is>
          <t>鉄骨造</t>
        </is>
      </c>
      <c r="B892" t="inlineStr">
        <is>
          <t>その他</t>
        </is>
      </c>
      <c r="C892" t="inlineStr">
        <is>
          <t>令和6年5月分</t>
        </is>
      </c>
      <c r="D892" t="n">
        <v>8341</v>
      </c>
      <c r="E892" t="n">
        <v>415100</v>
      </c>
      <c r="F892" t="n">
        <v>49.76621508212445</v>
      </c>
      <c r="G892" t="n">
        <v>164.5164132972066</v>
      </c>
    </row>
    <row r="893">
      <c r="A893" t="inlineStr">
        <is>
          <t>鉄骨造</t>
        </is>
      </c>
      <c r="B893" t="inlineStr">
        <is>
          <t>その他</t>
        </is>
      </c>
      <c r="C893" t="inlineStr">
        <is>
          <t>令和6年6月分</t>
        </is>
      </c>
      <c r="D893" t="n">
        <v>7637</v>
      </c>
      <c r="E893" t="n">
        <v>373030</v>
      </c>
      <c r="F893" t="n">
        <v>48.84509624197983</v>
      </c>
      <c r="G893" t="n">
        <v>161.4713923417048</v>
      </c>
    </row>
    <row r="894">
      <c r="A894" t="inlineStr">
        <is>
          <t>鉄骨造</t>
        </is>
      </c>
      <c r="B894" t="inlineStr">
        <is>
          <t>その他</t>
        </is>
      </c>
      <c r="C894" t="inlineStr">
        <is>
          <t>令和6年7月分</t>
        </is>
      </c>
      <c r="D894" t="n">
        <v>8520</v>
      </c>
      <c r="E894" t="n">
        <v>306300</v>
      </c>
      <c r="F894" t="n">
        <v>35.95070422535211</v>
      </c>
      <c r="G894" t="n">
        <v>118.8453030816901</v>
      </c>
    </row>
    <row r="895">
      <c r="A895" t="inlineStr">
        <is>
          <t>鉄骨造</t>
        </is>
      </c>
      <c r="B895" t="inlineStr">
        <is>
          <t>その他</t>
        </is>
      </c>
      <c r="C895" t="inlineStr">
        <is>
          <t>令和6年8月分</t>
        </is>
      </c>
      <c r="D895" t="n">
        <v>34834</v>
      </c>
      <c r="E895" t="n">
        <v>7225000</v>
      </c>
      <c r="F895" t="n">
        <v>207.4122983292186</v>
      </c>
      <c r="G895" t="n">
        <v>685.6604895217316</v>
      </c>
    </row>
    <row r="896">
      <c r="A896" t="inlineStr">
        <is>
          <t>鉄骨造</t>
        </is>
      </c>
      <c r="B896" t="inlineStr">
        <is>
          <t>その他</t>
        </is>
      </c>
      <c r="C896" t="inlineStr">
        <is>
          <t>令和6年9月分</t>
        </is>
      </c>
      <c r="D896" t="n">
        <v>14582</v>
      </c>
      <c r="E896" t="n">
        <v>566477</v>
      </c>
      <c r="F896" t="n">
        <v>38.84768893155945</v>
      </c>
      <c r="G896" t="n">
        <v>128.4221120163379</v>
      </c>
    </row>
    <row r="897">
      <c r="A897" t="inlineStr">
        <is>
          <t>鉄骨造</t>
        </is>
      </c>
      <c r="B897" t="inlineStr">
        <is>
          <t>その他</t>
        </is>
      </c>
      <c r="C897" t="inlineStr">
        <is>
          <t>令和6年10月分</t>
        </is>
      </c>
      <c r="D897" t="n">
        <v>19418</v>
      </c>
      <c r="E897" t="n">
        <v>532000</v>
      </c>
      <c r="F897" t="n">
        <v>27.3972602739726</v>
      </c>
      <c r="G897" t="n">
        <v>90.56945534246574</v>
      </c>
    </row>
    <row r="898">
      <c r="A898" t="inlineStr">
        <is>
          <t>鉄骨造</t>
        </is>
      </c>
      <c r="B898" t="inlineStr">
        <is>
          <t>その他</t>
        </is>
      </c>
      <c r="C898" t="inlineStr">
        <is>
          <t>令和6年11月分</t>
        </is>
      </c>
      <c r="D898" t="n">
        <v>2786</v>
      </c>
      <c r="E898" t="n">
        <v>118174</v>
      </c>
      <c r="F898" t="n">
        <v>42.41708542713568</v>
      </c>
      <c r="G898" t="n">
        <v>140.221769838794</v>
      </c>
    </row>
    <row r="899">
      <c r="A899" t="inlineStr">
        <is>
          <t>鉄骨造</t>
        </is>
      </c>
      <c r="B899" t="inlineStr">
        <is>
          <t>その他</t>
        </is>
      </c>
      <c r="C899" t="inlineStr">
        <is>
          <t>令和6年12月分</t>
        </is>
      </c>
      <c r="D899" t="n">
        <v>2351</v>
      </c>
      <c r="E899" t="n">
        <v>77800</v>
      </c>
      <c r="F899" t="n">
        <v>33.09230114844747</v>
      </c>
      <c r="G899" t="n">
        <v>109.3960367230965</v>
      </c>
    </row>
    <row r="900">
      <c r="A900" t="inlineStr">
        <is>
          <t>鉄骨造</t>
        </is>
      </c>
      <c r="B900" t="inlineStr">
        <is>
          <t>その他</t>
        </is>
      </c>
      <c r="C900" t="inlineStr">
        <is>
          <t>令和7年1月分</t>
        </is>
      </c>
      <c r="D900" t="n">
        <v>24121</v>
      </c>
      <c r="E900" t="n">
        <v>1183001.68755</v>
      </c>
      <c r="F900" t="n">
        <v>49.04447110609013</v>
      </c>
      <c r="G900" t="n">
        <v>162.1304828007827</v>
      </c>
    </row>
    <row r="901">
      <c r="A901" t="inlineStr">
        <is>
          <t>鉄骨造</t>
        </is>
      </c>
      <c r="B901" t="inlineStr">
        <is>
          <t>その他</t>
        </is>
      </c>
      <c r="C901" t="inlineStr">
        <is>
          <t>令和7年2月分</t>
        </is>
      </c>
      <c r="D901" t="n">
        <v>28099</v>
      </c>
      <c r="E901" t="n">
        <v>4589084.49811</v>
      </c>
      <c r="F901" t="n">
        <v>163.3184276347913</v>
      </c>
      <c r="G901" t="n">
        <v>539.8956278968898</v>
      </c>
    </row>
    <row r="902">
      <c r="A902" t="inlineStr">
        <is>
          <t>鉄骨造</t>
        </is>
      </c>
      <c r="B902" t="inlineStr">
        <is>
          <t>その他</t>
        </is>
      </c>
      <c r="C902" t="inlineStr">
        <is>
          <t>令和7年3月分</t>
        </is>
      </c>
      <c r="D902" t="n">
        <v>113144</v>
      </c>
      <c r="E902" t="n">
        <v>7381789.28356</v>
      </c>
      <c r="F902" t="n">
        <v>65.24242808774659</v>
      </c>
      <c r="G902" t="n">
        <v>215.6774479651427</v>
      </c>
    </row>
    <row r="903">
      <c r="A903" t="inlineStr">
        <is>
          <t>鉄骨造</t>
        </is>
      </c>
      <c r="B903" t="inlineStr">
        <is>
          <t>その他</t>
        </is>
      </c>
      <c r="C903" t="inlineStr">
        <is>
          <t>令和7年4月分</t>
        </is>
      </c>
      <c r="D903" t="n">
        <v>633108</v>
      </c>
      <c r="E903" t="n">
        <v>58016248.40408</v>
      </c>
      <c r="F903" t="n">
        <v>91.63720629668241</v>
      </c>
      <c r="G903" t="n">
        <v>302.932913013943</v>
      </c>
    </row>
    <row r="904">
      <c r="A904" t="inlineStr">
        <is>
          <t>鉄骨造</t>
        </is>
      </c>
      <c r="B904" t="inlineStr">
        <is>
          <t>その他</t>
        </is>
      </c>
      <c r="C904" t="inlineStr">
        <is>
          <t>令和7年5月分</t>
        </is>
      </c>
      <c r="D904" t="n">
        <v>52368</v>
      </c>
      <c r="E904" t="n">
        <v>2383111.26919</v>
      </c>
      <c r="F904" t="n">
        <v>45.5070132369004</v>
      </c>
      <c r="G904" t="n">
        <v>150.4364072141884</v>
      </c>
    </row>
    <row r="905">
      <c r="A905" t="inlineStr">
        <is>
          <t>鉄骨造</t>
        </is>
      </c>
      <c r="B905" t="inlineStr">
        <is>
          <t>その他</t>
        </is>
      </c>
      <c r="C905" t="inlineStr">
        <is>
          <t>令和7年6月分</t>
        </is>
      </c>
      <c r="D905" t="n">
        <v>26612</v>
      </c>
      <c r="E905" t="n">
        <v>1107518.93296</v>
      </c>
      <c r="F905" t="n">
        <v>41.61727540057117</v>
      </c>
      <c r="G905" t="n">
        <v>137.5777697541502</v>
      </c>
    </row>
    <row r="906">
      <c r="A906" t="inlineStr">
        <is>
          <t>鉄骨造</t>
        </is>
      </c>
      <c r="B906" t="inlineStr">
        <is>
          <t>その他</t>
        </is>
      </c>
      <c r="C906" t="inlineStr">
        <is>
          <t>令和7年7月分</t>
        </is>
      </c>
      <c r="D906" t="n">
        <v>23571</v>
      </c>
      <c r="E906" t="n">
        <v>1003249.38285</v>
      </c>
      <c r="F906" t="n">
        <v>42.56286890034364</v>
      </c>
      <c r="G906" t="n">
        <v>140.7036986752668</v>
      </c>
    </row>
    <row r="907">
      <c r="A907" t="inlineStr">
        <is>
          <t>鉄骨造</t>
        </is>
      </c>
      <c r="B907" t="inlineStr">
        <is>
          <t>その他</t>
        </is>
      </c>
      <c r="C907" t="inlineStr">
        <is>
          <t>令和7年8月分</t>
        </is>
      </c>
      <c r="D907" t="n">
        <v>57960</v>
      </c>
      <c r="E907" t="n">
        <v>4417246.94629</v>
      </c>
      <c r="F907" t="n">
        <v>76.21199010162181</v>
      </c>
      <c r="G907" t="n">
        <v>251.9404628435286</v>
      </c>
    </row>
    <row r="908">
      <c r="A908" t="inlineStr">
        <is>
          <t>鉄骨造</t>
        </is>
      </c>
      <c r="B908" t="inlineStr">
        <is>
          <t>その他</t>
        </is>
      </c>
      <c r="C908" t="inlineStr">
        <is>
          <t>令和7年8月分</t>
        </is>
      </c>
      <c r="D908" t="n">
        <v>184306</v>
      </c>
      <c r="E908" t="n">
        <v>12921677.36436</v>
      </c>
      <c r="F908" t="n">
        <v>70.10991158377915</v>
      </c>
      <c r="G908" t="n">
        <v>231.7683024781728</v>
      </c>
    </row>
    <row r="909">
      <c r="A909" t="inlineStr">
        <is>
          <t>鉄骨造</t>
        </is>
      </c>
      <c r="B909" t="inlineStr">
        <is>
          <t>その他</t>
        </is>
      </c>
      <c r="C909" t="inlineStr">
        <is>
          <t>令和7年8月分</t>
        </is>
      </c>
      <c r="D909" t="n">
        <v>43686</v>
      </c>
      <c r="E909" t="n">
        <v>1911065.56991</v>
      </c>
      <c r="F909" t="n">
        <v>43.74549214645425</v>
      </c>
      <c r="G909" t="n">
        <v>144.6131970048253</v>
      </c>
    </row>
    <row r="910">
      <c r="A910" t="inlineStr">
        <is>
          <t>鉄骨造</t>
        </is>
      </c>
      <c r="B910" t="inlineStr">
        <is>
          <t>その他</t>
        </is>
      </c>
      <c r="C910" t="inlineStr">
        <is>
          <t>令和7年8月分</t>
        </is>
      </c>
      <c r="D910" t="n">
        <v>46017</v>
      </c>
      <c r="E910" t="n">
        <v>1868560</v>
      </c>
      <c r="F910" t="n">
        <v>40.60586305061173</v>
      </c>
      <c r="G910" t="n">
        <v>134.2342578574701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渋谷 宣隆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2026-02-22T08:04:23Z</dcterms:modified>
  <cp:lastModifiedBy>松尾 一輝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0x010100C2C66093AC49314CAA1C456C0FF51723</vt:lpwstr>
  </property>
  <property name="MediaServiceImageTags" fmtid="{D5CDD505-2E9C-101B-9397-08002B2CF9AE}" pid="3">
    <vt:lpwstr xmlns:vt="http://schemas.openxmlformats.org/officeDocument/2006/docPropsVTypes"/>
  </property>
</Properties>
</file>