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ypmc365.sharepoint.com/sites/msteams_73ece6/Shared Documents/General/03_作業/2026年1月号/old/"/>
    </mc:Choice>
  </mc:AlternateContent>
  <xr:revisionPtr revIDLastSave="133" documentId="8_{A5E84382-B787-4436-8180-4EB3397DE21C}" xr6:coauthVersionLast="47" xr6:coauthVersionMax="47" xr10:uidLastSave="{D8AD9793-5375-42DB-BBF6-041ABB6CAFBF}"/>
  <bookViews>
    <workbookView xWindow="-108" yWindow="-108" windowWidth="23256" windowHeight="12456" firstSheet="2" activeTab="2" xr2:uid="{C2016FBB-575D-4785-98FD-DAE2B323F119}"/>
  </bookViews>
  <sheets>
    <sheet name="鉄骨鉄筋コンクリート造" sheetId="2" state="hidden" r:id="rId1"/>
    <sheet name="鉄筋コンクリート造" sheetId="6" state="hidden" r:id="rId2"/>
    <sheet name="鉄骨造" sheetId="7" r:id="rId3"/>
    <sheet name="集計" sheetId="5" r:id="rId4"/>
    <sheet name="グラフ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5" i="5" l="1"/>
  <c r="AY36" i="5" s="1"/>
  <c r="AX35" i="5"/>
  <c r="AX36" i="5" s="1"/>
  <c r="AW35" i="5"/>
  <c r="AW36" i="5" s="1"/>
  <c r="GK18" i="7"/>
  <c r="GL18" i="7" s="1"/>
  <c r="GK19" i="7"/>
  <c r="GL19" i="7" s="1"/>
  <c r="GK20" i="7"/>
  <c r="GL20" i="7" s="1"/>
  <c r="GK21" i="7"/>
  <c r="GL21" i="7" s="1"/>
  <c r="GK22" i="7"/>
  <c r="GL22" i="7"/>
  <c r="GK23" i="7"/>
  <c r="GL23" i="7"/>
  <c r="GK24" i="7"/>
  <c r="GL24" i="7"/>
  <c r="GK25" i="7"/>
  <c r="GL25" i="7" s="1"/>
  <c r="GG18" i="7"/>
  <c r="GH18" i="7" s="1"/>
  <c r="GG19" i="7"/>
  <c r="GH19" i="7" s="1"/>
  <c r="GG20" i="7"/>
  <c r="GH20" i="7" s="1"/>
  <c r="GG21" i="7"/>
  <c r="GH21" i="7" s="1"/>
  <c r="GG22" i="7"/>
  <c r="GH22" i="7" s="1"/>
  <c r="GG23" i="7"/>
  <c r="GH23" i="7" s="1"/>
  <c r="GG24" i="7"/>
  <c r="GH24" i="7" s="1"/>
  <c r="GG25" i="7"/>
  <c r="GH25" i="7" s="1"/>
  <c r="GC18" i="7"/>
  <c r="GD18" i="7" s="1"/>
  <c r="GC19" i="7"/>
  <c r="GD19" i="7" s="1"/>
  <c r="GC20" i="7"/>
  <c r="GD20" i="7" s="1"/>
  <c r="GC21" i="7"/>
  <c r="GD21" i="7"/>
  <c r="GC22" i="7"/>
  <c r="GD22" i="7"/>
  <c r="GC23" i="7"/>
  <c r="GD23" i="7"/>
  <c r="GC24" i="7"/>
  <c r="GD24" i="7" s="1"/>
  <c r="GC25" i="7"/>
  <c r="GD25" i="7" s="1"/>
  <c r="AV35" i="5"/>
  <c r="AU35" i="5"/>
  <c r="AT35" i="5"/>
  <c r="AR24" i="5"/>
  <c r="FY25" i="7"/>
  <c r="FZ25" i="7" s="1"/>
  <c r="FY24" i="7"/>
  <c r="FZ24" i="7" s="1"/>
  <c r="FY23" i="7"/>
  <c r="FZ23" i="7" s="1"/>
  <c r="FY22" i="7"/>
  <c r="FZ22" i="7" s="1"/>
  <c r="FY21" i="7"/>
  <c r="FZ21" i="7" s="1"/>
  <c r="FY20" i="7"/>
  <c r="FZ20" i="7" s="1"/>
  <c r="FY19" i="7"/>
  <c r="FZ19" i="7" s="1"/>
  <c r="FY18" i="7"/>
  <c r="FZ18" i="7" s="1"/>
  <c r="FY11" i="7"/>
  <c r="FZ11" i="7" s="1"/>
  <c r="FY10" i="7"/>
  <c r="FZ10" i="7" s="1"/>
  <c r="FY9" i="7"/>
  <c r="FZ9" i="7" s="1"/>
  <c r="FY8" i="7"/>
  <c r="FZ8" i="7" s="1"/>
  <c r="FY7" i="7"/>
  <c r="FZ7" i="7" s="1"/>
  <c r="FY6" i="7"/>
  <c r="FZ6" i="7" s="1"/>
  <c r="FY5" i="7"/>
  <c r="FZ5" i="7" s="1"/>
  <c r="FU25" i="7"/>
  <c r="FV25" i="7" s="1"/>
  <c r="FU24" i="7"/>
  <c r="FV24" i="7" s="1"/>
  <c r="FU23" i="7"/>
  <c r="FV23" i="7" s="1"/>
  <c r="FU22" i="7"/>
  <c r="FV22" i="7" s="1"/>
  <c r="FU21" i="7"/>
  <c r="FV21" i="7" s="1"/>
  <c r="FU20" i="7"/>
  <c r="FV20" i="7" s="1"/>
  <c r="FU19" i="7"/>
  <c r="FV19" i="7" s="1"/>
  <c r="FU18" i="7"/>
  <c r="FV18" i="7" s="1"/>
  <c r="FU11" i="7"/>
  <c r="FV11" i="7" s="1"/>
  <c r="FU10" i="7"/>
  <c r="FV10" i="7" s="1"/>
  <c r="FU9" i="7"/>
  <c r="FV9" i="7" s="1"/>
  <c r="FU8" i="7"/>
  <c r="FV8" i="7" s="1"/>
  <c r="FU7" i="7"/>
  <c r="FV7" i="7" s="1"/>
  <c r="FU6" i="7"/>
  <c r="FV6" i="7" s="1"/>
  <c r="FU5" i="7"/>
  <c r="FV5" i="7" s="1"/>
  <c r="FQ25" i="7"/>
  <c r="FR25" i="7" s="1"/>
  <c r="FQ24" i="7"/>
  <c r="FR24" i="7" s="1"/>
  <c r="FQ23" i="7"/>
  <c r="FR23" i="7" s="1"/>
  <c r="FQ22" i="7"/>
  <c r="FR22" i="7" s="1"/>
  <c r="FQ21" i="7"/>
  <c r="FR21" i="7" s="1"/>
  <c r="FQ20" i="7"/>
  <c r="FR20" i="7" s="1"/>
  <c r="FQ19" i="7"/>
  <c r="FR19" i="7" s="1"/>
  <c r="FQ18" i="7"/>
  <c r="FR18" i="7" s="1"/>
  <c r="FQ11" i="7"/>
  <c r="FR11" i="7" s="1"/>
  <c r="FQ10" i="7"/>
  <c r="FR10" i="7" s="1"/>
  <c r="FQ9" i="7"/>
  <c r="FR9" i="7" s="1"/>
  <c r="FQ8" i="7"/>
  <c r="FR8" i="7" s="1"/>
  <c r="FQ7" i="7"/>
  <c r="FR7" i="7" s="1"/>
  <c r="FQ6" i="7"/>
  <c r="FR6" i="7" s="1"/>
  <c r="FQ5" i="7"/>
  <c r="FR5" i="7" s="1"/>
  <c r="AR35" i="5"/>
  <c r="AQ35" i="5"/>
  <c r="AP35" i="5"/>
  <c r="AO35" i="5"/>
  <c r="AN35" i="5"/>
  <c r="AM35" i="5"/>
  <c r="AL35" i="5"/>
  <c r="AJ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R35" i="5"/>
  <c r="Q35" i="5"/>
  <c r="P35" i="5"/>
  <c r="L35" i="5"/>
  <c r="K35" i="5"/>
  <c r="F35" i="5"/>
  <c r="E35" i="5"/>
  <c r="C35" i="5"/>
  <c r="AV36" i="5" s="1"/>
  <c r="FM18" i="7"/>
  <c r="FN18" i="7" s="1"/>
  <c r="AS35" i="5" s="1"/>
  <c r="FI18" i="7"/>
  <c r="FJ18" i="7" s="1"/>
  <c r="FE18" i="7"/>
  <c r="FF18" i="7" s="1"/>
  <c r="FA18" i="7"/>
  <c r="FB18" i="7" s="1"/>
  <c r="EW18" i="7"/>
  <c r="EX18" i="7" s="1"/>
  <c r="ES18" i="7"/>
  <c r="ET18" i="7" s="1"/>
  <c r="EO18" i="7"/>
  <c r="EP18" i="7" s="1"/>
  <c r="EK18" i="7"/>
  <c r="EL18" i="7" s="1"/>
  <c r="EG18" i="7"/>
  <c r="EH18" i="7" s="1"/>
  <c r="AK35" i="5" s="1"/>
  <c r="EC18" i="7"/>
  <c r="ED18" i="7" s="1"/>
  <c r="DY18" i="7"/>
  <c r="DZ18" i="7" s="1"/>
  <c r="AI35" i="5" s="1"/>
  <c r="DU18" i="7"/>
  <c r="DV18" i="7" s="1"/>
  <c r="AH35" i="5" s="1"/>
  <c r="DQ18" i="7"/>
  <c r="DR18" i="7" s="1"/>
  <c r="DM18" i="7"/>
  <c r="DN18" i="7" s="1"/>
  <c r="DI18" i="7"/>
  <c r="DJ18" i="7" s="1"/>
  <c r="DE18" i="7"/>
  <c r="DF18" i="7" s="1"/>
  <c r="DA18" i="7"/>
  <c r="DB18" i="7" s="1"/>
  <c r="CW18" i="7"/>
  <c r="CX18" i="7" s="1"/>
  <c r="CS18" i="7"/>
  <c r="CT18" i="7" s="1"/>
  <c r="CO18" i="7"/>
  <c r="CP18" i="7" s="1"/>
  <c r="CK18" i="7"/>
  <c r="CL18" i="7" s="1"/>
  <c r="CG18" i="7"/>
  <c r="CH18" i="7" s="1"/>
  <c r="CC18" i="7"/>
  <c r="CD18" i="7" s="1"/>
  <c r="BY18" i="7"/>
  <c r="BZ18" i="7" s="1"/>
  <c r="BU18" i="7"/>
  <c r="BV18" i="7" s="1"/>
  <c r="BQ18" i="7"/>
  <c r="BR18" i="7" s="1"/>
  <c r="T35" i="5" s="1"/>
  <c r="BM18" i="7"/>
  <c r="BN18" i="7" s="1"/>
  <c r="S35" i="5" s="1"/>
  <c r="BI18" i="7"/>
  <c r="BJ18" i="7" s="1"/>
  <c r="BE18" i="7"/>
  <c r="BF18" i="7" s="1"/>
  <c r="BA18" i="7"/>
  <c r="BB18" i="7" s="1"/>
  <c r="AW18" i="7"/>
  <c r="AX18" i="7" s="1"/>
  <c r="O35" i="5" s="1"/>
  <c r="AS18" i="7"/>
  <c r="AT18" i="7" s="1"/>
  <c r="N35" i="5" s="1"/>
  <c r="AO18" i="7"/>
  <c r="AP18" i="7" s="1"/>
  <c r="M35" i="5" s="1"/>
  <c r="AK18" i="7"/>
  <c r="AL18" i="7" s="1"/>
  <c r="AG18" i="7"/>
  <c r="AH18" i="7" s="1"/>
  <c r="AC18" i="7"/>
  <c r="AD18" i="7" s="1"/>
  <c r="J35" i="5" s="1"/>
  <c r="Y18" i="7"/>
  <c r="Z18" i="7" s="1"/>
  <c r="I35" i="5" s="1"/>
  <c r="U18" i="7"/>
  <c r="V18" i="7" s="1"/>
  <c r="H35" i="5" s="1"/>
  <c r="Q18" i="7"/>
  <c r="R18" i="7" s="1"/>
  <c r="G35" i="5" s="1"/>
  <c r="M18" i="7"/>
  <c r="N18" i="7" s="1"/>
  <c r="I18" i="7"/>
  <c r="J18" i="7" s="1"/>
  <c r="E18" i="7"/>
  <c r="F18" i="7" s="1"/>
  <c r="FM25" i="7"/>
  <c r="FN25" i="7" s="1"/>
  <c r="FI25" i="7"/>
  <c r="FJ25" i="7" s="1"/>
  <c r="FE25" i="7"/>
  <c r="FF25" i="7" s="1"/>
  <c r="FA25" i="7"/>
  <c r="FB25" i="7" s="1"/>
  <c r="EW25" i="7"/>
  <c r="EX25" i="7" s="1"/>
  <c r="ET25" i="7"/>
  <c r="ES25" i="7"/>
  <c r="EO25" i="7"/>
  <c r="EP25" i="7" s="1"/>
  <c r="EK25" i="7"/>
  <c r="EL25" i="7" s="1"/>
  <c r="EG25" i="7"/>
  <c r="EH25" i="7" s="1"/>
  <c r="EC25" i="7"/>
  <c r="ED25" i="7" s="1"/>
  <c r="DY25" i="7"/>
  <c r="DZ25" i="7" s="1"/>
  <c r="DU25" i="7"/>
  <c r="DV25" i="7" s="1"/>
  <c r="DQ25" i="7"/>
  <c r="DR25" i="7" s="1"/>
  <c r="DM25" i="7"/>
  <c r="DN25" i="7" s="1"/>
  <c r="DI25" i="7"/>
  <c r="DJ25" i="7" s="1"/>
  <c r="DE25" i="7"/>
  <c r="DF25" i="7" s="1"/>
  <c r="DA25" i="7"/>
  <c r="DB25" i="7" s="1"/>
  <c r="CW25" i="7"/>
  <c r="CX25" i="7" s="1"/>
  <c r="CS25" i="7"/>
  <c r="CT25" i="7" s="1"/>
  <c r="CO25" i="7"/>
  <c r="CP25" i="7" s="1"/>
  <c r="CK25" i="7"/>
  <c r="CL25" i="7" s="1"/>
  <c r="CG25" i="7"/>
  <c r="CH25" i="7" s="1"/>
  <c r="CC25" i="7"/>
  <c r="CD25" i="7" s="1"/>
  <c r="BY25" i="7"/>
  <c r="BZ25" i="7" s="1"/>
  <c r="BU25" i="7"/>
  <c r="BV25" i="7" s="1"/>
  <c r="BQ25" i="7"/>
  <c r="BR25" i="7" s="1"/>
  <c r="BM25" i="7"/>
  <c r="BN25" i="7" s="1"/>
  <c r="BI25" i="7"/>
  <c r="BJ25" i="7" s="1"/>
  <c r="BE25" i="7"/>
  <c r="BF25" i="7" s="1"/>
  <c r="BA25" i="7"/>
  <c r="BB25" i="7" s="1"/>
  <c r="AW25" i="7"/>
  <c r="AX25" i="7" s="1"/>
  <c r="AS25" i="7"/>
  <c r="AT25" i="7" s="1"/>
  <c r="AO25" i="7"/>
  <c r="AP25" i="7" s="1"/>
  <c r="AK25" i="7"/>
  <c r="AL25" i="7" s="1"/>
  <c r="AG25" i="7"/>
  <c r="AH25" i="7" s="1"/>
  <c r="AC25" i="7"/>
  <c r="AD25" i="7" s="1"/>
  <c r="Y25" i="7"/>
  <c r="Z25" i="7" s="1"/>
  <c r="U25" i="7"/>
  <c r="V25" i="7" s="1"/>
  <c r="Q25" i="7"/>
  <c r="R25" i="7" s="1"/>
  <c r="M25" i="7"/>
  <c r="N25" i="7" s="1"/>
  <c r="I25" i="7"/>
  <c r="J25" i="7" s="1"/>
  <c r="E25" i="7"/>
  <c r="F25" i="7" s="1"/>
  <c r="FM24" i="7"/>
  <c r="FN24" i="7" s="1"/>
  <c r="FI24" i="7"/>
  <c r="FJ24" i="7" s="1"/>
  <c r="FE24" i="7"/>
  <c r="FF24" i="7" s="1"/>
  <c r="FA24" i="7"/>
  <c r="FB24" i="7" s="1"/>
  <c r="EW24" i="7"/>
  <c r="EX24" i="7" s="1"/>
  <c r="ES24" i="7"/>
  <c r="ET24" i="7" s="1"/>
  <c r="EO24" i="7"/>
  <c r="EP24" i="7" s="1"/>
  <c r="EK24" i="7"/>
  <c r="EL24" i="7" s="1"/>
  <c r="EG24" i="7"/>
  <c r="EH24" i="7" s="1"/>
  <c r="EC24" i="7"/>
  <c r="ED24" i="7" s="1"/>
  <c r="DY24" i="7"/>
  <c r="DZ24" i="7" s="1"/>
  <c r="DU24" i="7"/>
  <c r="DV24" i="7" s="1"/>
  <c r="DQ24" i="7"/>
  <c r="DR24" i="7" s="1"/>
  <c r="DM24" i="7"/>
  <c r="DN24" i="7" s="1"/>
  <c r="DI24" i="7"/>
  <c r="DJ24" i="7" s="1"/>
  <c r="DE24" i="7"/>
  <c r="DF24" i="7" s="1"/>
  <c r="DA24" i="7"/>
  <c r="DB24" i="7" s="1"/>
  <c r="CW24" i="7"/>
  <c r="CX24" i="7" s="1"/>
  <c r="CS24" i="7"/>
  <c r="CT24" i="7" s="1"/>
  <c r="CO24" i="7"/>
  <c r="CP24" i="7" s="1"/>
  <c r="CK24" i="7"/>
  <c r="CL24" i="7" s="1"/>
  <c r="CG24" i="7"/>
  <c r="CH24" i="7" s="1"/>
  <c r="CC24" i="7"/>
  <c r="CD24" i="7" s="1"/>
  <c r="BY24" i="7"/>
  <c r="BZ24" i="7" s="1"/>
  <c r="BU24" i="7"/>
  <c r="BV24" i="7" s="1"/>
  <c r="BQ24" i="7"/>
  <c r="BR24" i="7" s="1"/>
  <c r="BN24" i="7"/>
  <c r="BM24" i="7"/>
  <c r="BI24" i="7"/>
  <c r="BJ24" i="7" s="1"/>
  <c r="BE24" i="7"/>
  <c r="BF24" i="7" s="1"/>
  <c r="BA24" i="7"/>
  <c r="BB24" i="7" s="1"/>
  <c r="AW24" i="7"/>
  <c r="AX24" i="7" s="1"/>
  <c r="AS24" i="7"/>
  <c r="AT24" i="7" s="1"/>
  <c r="AO24" i="7"/>
  <c r="AP24" i="7" s="1"/>
  <c r="AK24" i="7"/>
  <c r="AL24" i="7" s="1"/>
  <c r="AG24" i="7"/>
  <c r="AH24" i="7" s="1"/>
  <c r="AC24" i="7"/>
  <c r="AD24" i="7" s="1"/>
  <c r="Y24" i="7"/>
  <c r="Z24" i="7" s="1"/>
  <c r="U24" i="7"/>
  <c r="V24" i="7" s="1"/>
  <c r="Q24" i="7"/>
  <c r="R24" i="7" s="1"/>
  <c r="M24" i="7"/>
  <c r="N24" i="7" s="1"/>
  <c r="I24" i="7"/>
  <c r="J24" i="7" s="1"/>
  <c r="E24" i="7"/>
  <c r="F24" i="7" s="1"/>
  <c r="FM23" i="7"/>
  <c r="FN23" i="7" s="1"/>
  <c r="FJ23" i="7"/>
  <c r="FI23" i="7"/>
  <c r="FE23" i="7"/>
  <c r="FF23" i="7" s="1"/>
  <c r="FA23" i="7"/>
  <c r="FB23" i="7" s="1"/>
  <c r="EW23" i="7"/>
  <c r="EX23" i="7" s="1"/>
  <c r="ES23" i="7"/>
  <c r="ET23" i="7" s="1"/>
  <c r="EO23" i="7"/>
  <c r="EP23" i="7" s="1"/>
  <c r="EK23" i="7"/>
  <c r="EL23" i="7" s="1"/>
  <c r="EG23" i="7"/>
  <c r="EH23" i="7" s="1"/>
  <c r="EC23" i="7"/>
  <c r="ED23" i="7" s="1"/>
  <c r="DY23" i="7"/>
  <c r="DZ23" i="7" s="1"/>
  <c r="DU23" i="7"/>
  <c r="DV23" i="7" s="1"/>
  <c r="DQ23" i="7"/>
  <c r="DR23" i="7" s="1"/>
  <c r="DM23" i="7"/>
  <c r="DN23" i="7" s="1"/>
  <c r="DI23" i="7"/>
  <c r="DJ23" i="7" s="1"/>
  <c r="DE23" i="7"/>
  <c r="DF23" i="7" s="1"/>
  <c r="DA23" i="7"/>
  <c r="DB23" i="7" s="1"/>
  <c r="CW23" i="7"/>
  <c r="CX23" i="7" s="1"/>
  <c r="CS23" i="7"/>
  <c r="CT23" i="7" s="1"/>
  <c r="CO23" i="7"/>
  <c r="CP23" i="7" s="1"/>
  <c r="CK23" i="7"/>
  <c r="CL23" i="7" s="1"/>
  <c r="CG23" i="7"/>
  <c r="CH23" i="7" s="1"/>
  <c r="CC23" i="7"/>
  <c r="CD23" i="7" s="1"/>
  <c r="BY23" i="7"/>
  <c r="BZ23" i="7" s="1"/>
  <c r="BU23" i="7"/>
  <c r="BV23" i="7" s="1"/>
  <c r="BQ23" i="7"/>
  <c r="BR23" i="7" s="1"/>
  <c r="BM23" i="7"/>
  <c r="BN23" i="7" s="1"/>
  <c r="BI23" i="7"/>
  <c r="BJ23" i="7" s="1"/>
  <c r="BE23" i="7"/>
  <c r="BF23" i="7" s="1"/>
  <c r="BA23" i="7"/>
  <c r="BB23" i="7" s="1"/>
  <c r="AW23" i="7"/>
  <c r="AX23" i="7" s="1"/>
  <c r="AS23" i="7"/>
  <c r="AT23" i="7" s="1"/>
  <c r="AO23" i="7"/>
  <c r="AP23" i="7" s="1"/>
  <c r="AL23" i="7"/>
  <c r="AK23" i="7"/>
  <c r="AG23" i="7"/>
  <c r="AH23" i="7" s="1"/>
  <c r="AC23" i="7"/>
  <c r="AD23" i="7" s="1"/>
  <c r="Y23" i="7"/>
  <c r="Z23" i="7" s="1"/>
  <c r="U23" i="7"/>
  <c r="V23" i="7" s="1"/>
  <c r="Q23" i="7"/>
  <c r="R23" i="7" s="1"/>
  <c r="M23" i="7"/>
  <c r="N23" i="7" s="1"/>
  <c r="I23" i="7"/>
  <c r="J23" i="7" s="1"/>
  <c r="E23" i="7"/>
  <c r="F23" i="7" s="1"/>
  <c r="FM22" i="7"/>
  <c r="FN22" i="7" s="1"/>
  <c r="FI22" i="7"/>
  <c r="FJ22" i="7" s="1"/>
  <c r="FE22" i="7"/>
  <c r="FF22" i="7" s="1"/>
  <c r="FA22" i="7"/>
  <c r="FB22" i="7" s="1"/>
  <c r="EW22" i="7"/>
  <c r="EX22" i="7" s="1"/>
  <c r="ES22" i="7"/>
  <c r="ET22" i="7" s="1"/>
  <c r="EO22" i="7"/>
  <c r="EP22" i="7" s="1"/>
  <c r="EK22" i="7"/>
  <c r="EL22" i="7" s="1"/>
  <c r="EG22" i="7"/>
  <c r="EH22" i="7" s="1"/>
  <c r="EC22" i="7"/>
  <c r="ED22" i="7" s="1"/>
  <c r="DY22" i="7"/>
  <c r="DZ22" i="7" s="1"/>
  <c r="DU22" i="7"/>
  <c r="DV22" i="7" s="1"/>
  <c r="DQ22" i="7"/>
  <c r="DR22" i="7" s="1"/>
  <c r="DM22" i="7"/>
  <c r="DN22" i="7" s="1"/>
  <c r="DI22" i="7"/>
  <c r="DJ22" i="7" s="1"/>
  <c r="DE22" i="7"/>
  <c r="DF22" i="7" s="1"/>
  <c r="DA22" i="7"/>
  <c r="DB22" i="7" s="1"/>
  <c r="CW22" i="7"/>
  <c r="CX22" i="7" s="1"/>
  <c r="CS22" i="7"/>
  <c r="CT22" i="7" s="1"/>
  <c r="CO22" i="7"/>
  <c r="CP22" i="7" s="1"/>
  <c r="CK22" i="7"/>
  <c r="CL22" i="7" s="1"/>
  <c r="CG22" i="7"/>
  <c r="CH22" i="7" s="1"/>
  <c r="CC22" i="7"/>
  <c r="CD22" i="7" s="1"/>
  <c r="BY22" i="7"/>
  <c r="BZ22" i="7" s="1"/>
  <c r="BU22" i="7"/>
  <c r="BV22" i="7" s="1"/>
  <c r="BQ22" i="7"/>
  <c r="BR22" i="7" s="1"/>
  <c r="BM22" i="7"/>
  <c r="BN22" i="7" s="1"/>
  <c r="BI22" i="7"/>
  <c r="BJ22" i="7" s="1"/>
  <c r="BE22" i="7"/>
  <c r="BF22" i="7" s="1"/>
  <c r="BA22" i="7"/>
  <c r="BB22" i="7" s="1"/>
  <c r="AW22" i="7"/>
  <c r="AX22" i="7" s="1"/>
  <c r="AS22" i="7"/>
  <c r="AT22" i="7" s="1"/>
  <c r="AP22" i="7"/>
  <c r="AO22" i="7"/>
  <c r="AK22" i="7"/>
  <c r="AL22" i="7" s="1"/>
  <c r="AG22" i="7"/>
  <c r="AH22" i="7" s="1"/>
  <c r="AD22" i="7"/>
  <c r="AC22" i="7"/>
  <c r="Y22" i="7"/>
  <c r="Z22" i="7" s="1"/>
  <c r="U22" i="7"/>
  <c r="V22" i="7" s="1"/>
  <c r="Q22" i="7"/>
  <c r="R22" i="7" s="1"/>
  <c r="M22" i="7"/>
  <c r="N22" i="7" s="1"/>
  <c r="I22" i="7"/>
  <c r="J22" i="7" s="1"/>
  <c r="E22" i="7"/>
  <c r="F22" i="7" s="1"/>
  <c r="FM21" i="7"/>
  <c r="FN21" i="7" s="1"/>
  <c r="FI21" i="7"/>
  <c r="FJ21" i="7" s="1"/>
  <c r="FE21" i="7"/>
  <c r="FF21" i="7" s="1"/>
  <c r="FA21" i="7"/>
  <c r="FB21" i="7" s="1"/>
  <c r="EW21" i="7"/>
  <c r="EX21" i="7" s="1"/>
  <c r="ES21" i="7"/>
  <c r="ET21" i="7" s="1"/>
  <c r="EO21" i="7"/>
  <c r="EP21" i="7" s="1"/>
  <c r="EK21" i="7"/>
  <c r="EL21" i="7" s="1"/>
  <c r="EG21" i="7"/>
  <c r="EH21" i="7" s="1"/>
  <c r="EC21" i="7"/>
  <c r="ED21" i="7" s="1"/>
  <c r="DY21" i="7"/>
  <c r="DZ21" i="7" s="1"/>
  <c r="DU21" i="7"/>
  <c r="DV21" i="7" s="1"/>
  <c r="DQ21" i="7"/>
  <c r="DR21" i="7" s="1"/>
  <c r="DM21" i="7"/>
  <c r="DN21" i="7" s="1"/>
  <c r="DI21" i="7"/>
  <c r="DJ21" i="7" s="1"/>
  <c r="DE21" i="7"/>
  <c r="DF21" i="7" s="1"/>
  <c r="DA21" i="7"/>
  <c r="DB21" i="7" s="1"/>
  <c r="CX21" i="7"/>
  <c r="CW21" i="7"/>
  <c r="CS21" i="7"/>
  <c r="CT21" i="7" s="1"/>
  <c r="CO21" i="7"/>
  <c r="CP21" i="7" s="1"/>
  <c r="CK21" i="7"/>
  <c r="CL21" i="7" s="1"/>
  <c r="CG21" i="7"/>
  <c r="CH21" i="7" s="1"/>
  <c r="CC21" i="7"/>
  <c r="CD21" i="7" s="1"/>
  <c r="BY21" i="7"/>
  <c r="BZ21" i="7" s="1"/>
  <c r="BU21" i="7"/>
  <c r="BV21" i="7" s="1"/>
  <c r="BQ21" i="7"/>
  <c r="BR21" i="7" s="1"/>
  <c r="BM21" i="7"/>
  <c r="BN21" i="7" s="1"/>
  <c r="BI21" i="7"/>
  <c r="BJ21" i="7" s="1"/>
  <c r="BE21" i="7"/>
  <c r="BF21" i="7" s="1"/>
  <c r="BA21" i="7"/>
  <c r="BB21" i="7" s="1"/>
  <c r="AW21" i="7"/>
  <c r="AX21" i="7" s="1"/>
  <c r="AS21" i="7"/>
  <c r="AT21" i="7" s="1"/>
  <c r="AO21" i="7"/>
  <c r="AP21" i="7" s="1"/>
  <c r="AK21" i="7"/>
  <c r="AL21" i="7" s="1"/>
  <c r="AG21" i="7"/>
  <c r="AH21" i="7" s="1"/>
  <c r="AC21" i="7"/>
  <c r="AD21" i="7" s="1"/>
  <c r="Y21" i="7"/>
  <c r="Z21" i="7" s="1"/>
  <c r="U21" i="7"/>
  <c r="V21" i="7" s="1"/>
  <c r="Q21" i="7"/>
  <c r="R21" i="7" s="1"/>
  <c r="M21" i="7"/>
  <c r="N21" i="7" s="1"/>
  <c r="I21" i="7"/>
  <c r="J21" i="7" s="1"/>
  <c r="E21" i="7"/>
  <c r="F21" i="7" s="1"/>
  <c r="FM20" i="7"/>
  <c r="FN20" i="7" s="1"/>
  <c r="FI20" i="7"/>
  <c r="FJ20" i="7" s="1"/>
  <c r="FE20" i="7"/>
  <c r="FF20" i="7" s="1"/>
  <c r="FA20" i="7"/>
  <c r="FB20" i="7" s="1"/>
  <c r="EW20" i="7"/>
  <c r="EX20" i="7" s="1"/>
  <c r="ES20" i="7"/>
  <c r="ET20" i="7" s="1"/>
  <c r="EO20" i="7"/>
  <c r="EP20" i="7" s="1"/>
  <c r="EK20" i="7"/>
  <c r="EL20" i="7" s="1"/>
  <c r="EG20" i="7"/>
  <c r="EH20" i="7" s="1"/>
  <c r="EC20" i="7"/>
  <c r="ED20" i="7" s="1"/>
  <c r="DY20" i="7"/>
  <c r="DZ20" i="7" s="1"/>
  <c r="DU20" i="7"/>
  <c r="DV20" i="7" s="1"/>
  <c r="DQ20" i="7"/>
  <c r="DR20" i="7" s="1"/>
  <c r="DM20" i="7"/>
  <c r="DN20" i="7" s="1"/>
  <c r="DI20" i="7"/>
  <c r="DJ20" i="7" s="1"/>
  <c r="DE20" i="7"/>
  <c r="DF20" i="7" s="1"/>
  <c r="DA20" i="7"/>
  <c r="DB20" i="7" s="1"/>
  <c r="CW20" i="7"/>
  <c r="CX20" i="7" s="1"/>
  <c r="CS20" i="7"/>
  <c r="CT20" i="7" s="1"/>
  <c r="CO20" i="7"/>
  <c r="CP20" i="7" s="1"/>
  <c r="CK20" i="7"/>
  <c r="CL20" i="7" s="1"/>
  <c r="CG20" i="7"/>
  <c r="CH20" i="7" s="1"/>
  <c r="CC20" i="7"/>
  <c r="CD20" i="7" s="1"/>
  <c r="BY20" i="7"/>
  <c r="BZ20" i="7" s="1"/>
  <c r="BU20" i="7"/>
  <c r="BV20" i="7" s="1"/>
  <c r="BQ20" i="7"/>
  <c r="BR20" i="7" s="1"/>
  <c r="BM20" i="7"/>
  <c r="BN20" i="7" s="1"/>
  <c r="BI20" i="7"/>
  <c r="BJ20" i="7" s="1"/>
  <c r="BE20" i="7"/>
  <c r="BF20" i="7" s="1"/>
  <c r="BA20" i="7"/>
  <c r="BB20" i="7" s="1"/>
  <c r="AW20" i="7"/>
  <c r="AX20" i="7" s="1"/>
  <c r="AS20" i="7"/>
  <c r="AT20" i="7" s="1"/>
  <c r="AO20" i="7"/>
  <c r="AP20" i="7" s="1"/>
  <c r="AK20" i="7"/>
  <c r="AL20" i="7" s="1"/>
  <c r="AG20" i="7"/>
  <c r="AH20" i="7" s="1"/>
  <c r="AC20" i="7"/>
  <c r="AD20" i="7" s="1"/>
  <c r="Y20" i="7"/>
  <c r="Z20" i="7" s="1"/>
  <c r="U20" i="7"/>
  <c r="V20" i="7" s="1"/>
  <c r="Q20" i="7"/>
  <c r="R20" i="7" s="1"/>
  <c r="M20" i="7"/>
  <c r="N20" i="7" s="1"/>
  <c r="I20" i="7"/>
  <c r="J20" i="7" s="1"/>
  <c r="E20" i="7"/>
  <c r="F20" i="7" s="1"/>
  <c r="FM19" i="7"/>
  <c r="FN19" i="7" s="1"/>
  <c r="FI19" i="7"/>
  <c r="FJ19" i="7" s="1"/>
  <c r="FE19" i="7"/>
  <c r="FF19" i="7" s="1"/>
  <c r="FA19" i="7"/>
  <c r="FB19" i="7" s="1"/>
  <c r="EW19" i="7"/>
  <c r="EX19" i="7" s="1"/>
  <c r="ES19" i="7"/>
  <c r="ET19" i="7" s="1"/>
  <c r="EO19" i="7"/>
  <c r="EP19" i="7" s="1"/>
  <c r="EK19" i="7"/>
  <c r="EL19" i="7" s="1"/>
  <c r="EG19" i="7"/>
  <c r="EH19" i="7" s="1"/>
  <c r="EC19" i="7"/>
  <c r="ED19" i="7" s="1"/>
  <c r="DY19" i="7"/>
  <c r="DZ19" i="7" s="1"/>
  <c r="DU19" i="7"/>
  <c r="DV19" i="7" s="1"/>
  <c r="DQ19" i="7"/>
  <c r="DR19" i="7" s="1"/>
  <c r="DM19" i="7"/>
  <c r="DN19" i="7" s="1"/>
  <c r="DI19" i="7"/>
  <c r="DJ19" i="7" s="1"/>
  <c r="DE19" i="7"/>
  <c r="DF19" i="7" s="1"/>
  <c r="DA19" i="7"/>
  <c r="DB19" i="7" s="1"/>
  <c r="CW19" i="7"/>
  <c r="CX19" i="7" s="1"/>
  <c r="CS19" i="7"/>
  <c r="CT19" i="7" s="1"/>
  <c r="CO19" i="7"/>
  <c r="CP19" i="7" s="1"/>
  <c r="CK19" i="7"/>
  <c r="CL19" i="7" s="1"/>
  <c r="CH19" i="7"/>
  <c r="CG19" i="7"/>
  <c r="CC19" i="7"/>
  <c r="CD19" i="7" s="1"/>
  <c r="BY19" i="7"/>
  <c r="BZ19" i="7" s="1"/>
  <c r="BU19" i="7"/>
  <c r="BV19" i="7" s="1"/>
  <c r="BQ19" i="7"/>
  <c r="BR19" i="7" s="1"/>
  <c r="BM19" i="7"/>
  <c r="BN19" i="7" s="1"/>
  <c r="BI19" i="7"/>
  <c r="BJ19" i="7" s="1"/>
  <c r="BF19" i="7"/>
  <c r="BE19" i="7"/>
  <c r="BA19" i="7"/>
  <c r="BB19" i="7" s="1"/>
  <c r="AW19" i="7"/>
  <c r="AX19" i="7" s="1"/>
  <c r="AS19" i="7"/>
  <c r="AT19" i="7" s="1"/>
  <c r="AO19" i="7"/>
  <c r="AP19" i="7" s="1"/>
  <c r="AK19" i="7"/>
  <c r="AL19" i="7" s="1"/>
  <c r="AG19" i="7"/>
  <c r="AH19" i="7" s="1"/>
  <c r="AC19" i="7"/>
  <c r="AD19" i="7" s="1"/>
  <c r="Y19" i="7"/>
  <c r="Z19" i="7" s="1"/>
  <c r="U19" i="7"/>
  <c r="V19" i="7" s="1"/>
  <c r="Q19" i="7"/>
  <c r="R19" i="7" s="1"/>
  <c r="M19" i="7"/>
  <c r="N19" i="7" s="1"/>
  <c r="I19" i="7"/>
  <c r="J19" i="7" s="1"/>
  <c r="E19" i="7"/>
  <c r="F19" i="7" s="1"/>
  <c r="M31" i="5"/>
  <c r="E30" i="5"/>
  <c r="BA11" i="7"/>
  <c r="BB11" i="7" s="1"/>
  <c r="P31" i="5" s="1"/>
  <c r="BA10" i="7"/>
  <c r="BB10" i="7" s="1"/>
  <c r="P30" i="5" s="1"/>
  <c r="BA9" i="7"/>
  <c r="BB9" i="7" s="1"/>
  <c r="P29" i="5" s="1"/>
  <c r="BA8" i="7"/>
  <c r="BB8" i="7" s="1"/>
  <c r="P28" i="5" s="1"/>
  <c r="BA7" i="7"/>
  <c r="BB7" i="7" s="1"/>
  <c r="P27" i="5" s="1"/>
  <c r="BA6" i="7"/>
  <c r="BB6" i="7" s="1"/>
  <c r="P26" i="5" s="1"/>
  <c r="BA5" i="7"/>
  <c r="BB5" i="7" s="1"/>
  <c r="P24" i="5" s="1"/>
  <c r="AS11" i="7"/>
  <c r="AT11" i="7" s="1"/>
  <c r="N31" i="5" s="1"/>
  <c r="AO11" i="7"/>
  <c r="AP11" i="7" s="1"/>
  <c r="AS10" i="7"/>
  <c r="AT10" i="7" s="1"/>
  <c r="N30" i="5" s="1"/>
  <c r="AO10" i="7"/>
  <c r="AP10" i="7" s="1"/>
  <c r="M30" i="5" s="1"/>
  <c r="AS9" i="7"/>
  <c r="AT9" i="7" s="1"/>
  <c r="N29" i="5" s="1"/>
  <c r="AO9" i="7"/>
  <c r="AP9" i="7" s="1"/>
  <c r="M29" i="5" s="1"/>
  <c r="AS8" i="7"/>
  <c r="AT8" i="7" s="1"/>
  <c r="N28" i="5" s="1"/>
  <c r="AO8" i="7"/>
  <c r="AP8" i="7" s="1"/>
  <c r="M28" i="5" s="1"/>
  <c r="AS7" i="7"/>
  <c r="AT7" i="7" s="1"/>
  <c r="N27" i="5" s="1"/>
  <c r="AO7" i="7"/>
  <c r="AP7" i="7" s="1"/>
  <c r="M27" i="5" s="1"/>
  <c r="AS6" i="7"/>
  <c r="AT6" i="7" s="1"/>
  <c r="N26" i="5" s="1"/>
  <c r="AO6" i="7"/>
  <c r="AP6" i="7" s="1"/>
  <c r="M26" i="5" s="1"/>
  <c r="AS5" i="7"/>
  <c r="AT5" i="7" s="1"/>
  <c r="N24" i="5" s="1"/>
  <c r="AO5" i="7"/>
  <c r="AP5" i="7" s="1"/>
  <c r="M24" i="5" s="1"/>
  <c r="AG11" i="7"/>
  <c r="AH11" i="7" s="1"/>
  <c r="K31" i="5" s="1"/>
  <c r="AC11" i="7"/>
  <c r="AD11" i="7" s="1"/>
  <c r="J31" i="5" s="1"/>
  <c r="AG10" i="7"/>
  <c r="AH10" i="7" s="1"/>
  <c r="K30" i="5" s="1"/>
  <c r="AC10" i="7"/>
  <c r="AD10" i="7" s="1"/>
  <c r="J30" i="5" s="1"/>
  <c r="AG9" i="7"/>
  <c r="AH9" i="7" s="1"/>
  <c r="K29" i="5" s="1"/>
  <c r="AC9" i="7"/>
  <c r="AD9" i="7" s="1"/>
  <c r="J29" i="5" s="1"/>
  <c r="AG8" i="7"/>
  <c r="AH8" i="7" s="1"/>
  <c r="K28" i="5" s="1"/>
  <c r="AC8" i="7"/>
  <c r="AD8" i="7" s="1"/>
  <c r="J28" i="5" s="1"/>
  <c r="AG7" i="7"/>
  <c r="AH7" i="7" s="1"/>
  <c r="K27" i="5" s="1"/>
  <c r="AC7" i="7"/>
  <c r="AD7" i="7" s="1"/>
  <c r="J27" i="5" s="1"/>
  <c r="AG6" i="7"/>
  <c r="AH6" i="7" s="1"/>
  <c r="K26" i="5" s="1"/>
  <c r="AC6" i="7"/>
  <c r="AD6" i="7" s="1"/>
  <c r="J26" i="5" s="1"/>
  <c r="AG5" i="7"/>
  <c r="AH5" i="7" s="1"/>
  <c r="K24" i="5" s="1"/>
  <c r="AC5" i="7"/>
  <c r="AD5" i="7" s="1"/>
  <c r="J24" i="5" s="1"/>
  <c r="Q11" i="7"/>
  <c r="R11" i="7" s="1"/>
  <c r="G31" i="5" s="1"/>
  <c r="Q10" i="7"/>
  <c r="R10" i="7" s="1"/>
  <c r="G30" i="5" s="1"/>
  <c r="Q9" i="7"/>
  <c r="R9" i="7" s="1"/>
  <c r="G29" i="5" s="1"/>
  <c r="Q8" i="7"/>
  <c r="R8" i="7" s="1"/>
  <c r="G28" i="5" s="1"/>
  <c r="Q7" i="7"/>
  <c r="R7" i="7" s="1"/>
  <c r="G27" i="5" s="1"/>
  <c r="Q6" i="7"/>
  <c r="R6" i="7" s="1"/>
  <c r="G26" i="5" s="1"/>
  <c r="Q5" i="7"/>
  <c r="R5" i="7" s="1"/>
  <c r="G24" i="5" s="1"/>
  <c r="U11" i="7"/>
  <c r="V11" i="7" s="1"/>
  <c r="H31" i="5" s="1"/>
  <c r="U10" i="7"/>
  <c r="V10" i="7" s="1"/>
  <c r="H30" i="5" s="1"/>
  <c r="U9" i="7"/>
  <c r="V9" i="7" s="1"/>
  <c r="H29" i="5" s="1"/>
  <c r="U8" i="7"/>
  <c r="V8" i="7" s="1"/>
  <c r="H28" i="5" s="1"/>
  <c r="U7" i="7"/>
  <c r="V7" i="7" s="1"/>
  <c r="H27" i="5" s="1"/>
  <c r="U6" i="7"/>
  <c r="V6" i="7" s="1"/>
  <c r="H26" i="5" s="1"/>
  <c r="U5" i="7"/>
  <c r="V5" i="7" s="1"/>
  <c r="H24" i="5" s="1"/>
  <c r="I11" i="7"/>
  <c r="J11" i="7" s="1"/>
  <c r="E31" i="5" s="1"/>
  <c r="I10" i="7"/>
  <c r="J10" i="7" s="1"/>
  <c r="I9" i="7"/>
  <c r="J9" i="7" s="1"/>
  <c r="E29" i="5" s="1"/>
  <c r="I8" i="7"/>
  <c r="J8" i="7" s="1"/>
  <c r="E28" i="5" s="1"/>
  <c r="I7" i="7"/>
  <c r="J7" i="7" s="1"/>
  <c r="E27" i="5" s="1"/>
  <c r="I6" i="7"/>
  <c r="J6" i="7" s="1"/>
  <c r="E26" i="5" s="1"/>
  <c r="I5" i="7"/>
  <c r="J5" i="7" s="1"/>
  <c r="E24" i="5" s="1"/>
  <c r="CW11" i="7"/>
  <c r="CX11" i="7" s="1"/>
  <c r="AB31" i="5" s="1"/>
  <c r="CW10" i="7"/>
  <c r="CX10" i="7" s="1"/>
  <c r="AB30" i="5" s="1"/>
  <c r="CW9" i="7"/>
  <c r="CX9" i="7" s="1"/>
  <c r="AB29" i="5" s="1"/>
  <c r="CW8" i="7"/>
  <c r="CX8" i="7" s="1"/>
  <c r="AB28" i="5" s="1"/>
  <c r="CW7" i="7"/>
  <c r="CX7" i="7" s="1"/>
  <c r="AB27" i="5" s="1"/>
  <c r="CW6" i="7"/>
  <c r="CX6" i="7" s="1"/>
  <c r="AB26" i="5" s="1"/>
  <c r="CW5" i="7"/>
  <c r="CX5" i="7" s="1"/>
  <c r="AB24" i="5" s="1"/>
  <c r="CO11" i="7"/>
  <c r="CP11" i="7" s="1"/>
  <c r="Z31" i="5" s="1"/>
  <c r="CK11" i="7"/>
  <c r="CL11" i="7" s="1"/>
  <c r="Y31" i="5" s="1"/>
  <c r="CO10" i="7"/>
  <c r="CP10" i="7" s="1"/>
  <c r="Z30" i="5" s="1"/>
  <c r="CK10" i="7"/>
  <c r="CL10" i="7" s="1"/>
  <c r="Y30" i="5" s="1"/>
  <c r="CO9" i="7"/>
  <c r="CP9" i="7" s="1"/>
  <c r="Z29" i="5" s="1"/>
  <c r="CK9" i="7"/>
  <c r="CL9" i="7" s="1"/>
  <c r="Y29" i="5" s="1"/>
  <c r="CO8" i="7"/>
  <c r="CP8" i="7" s="1"/>
  <c r="Z28" i="5" s="1"/>
  <c r="CK8" i="7"/>
  <c r="CL8" i="7" s="1"/>
  <c r="Y28" i="5" s="1"/>
  <c r="CO7" i="7"/>
  <c r="CP7" i="7" s="1"/>
  <c r="Z27" i="5" s="1"/>
  <c r="CK7" i="7"/>
  <c r="CL7" i="7" s="1"/>
  <c r="Y27" i="5" s="1"/>
  <c r="CO6" i="7"/>
  <c r="CP6" i="7" s="1"/>
  <c r="Z26" i="5" s="1"/>
  <c r="CK6" i="7"/>
  <c r="CL6" i="7" s="1"/>
  <c r="Y26" i="5" s="1"/>
  <c r="CO5" i="7"/>
  <c r="CP5" i="7" s="1"/>
  <c r="Z24" i="5" s="1"/>
  <c r="CK5" i="7"/>
  <c r="CL5" i="7" s="1"/>
  <c r="Y24" i="5" s="1"/>
  <c r="CC11" i="7"/>
  <c r="CD11" i="7" s="1"/>
  <c r="W31" i="5" s="1"/>
  <c r="BY11" i="7"/>
  <c r="BZ11" i="7" s="1"/>
  <c r="V31" i="5" s="1"/>
  <c r="CC10" i="7"/>
  <c r="CD10" i="7" s="1"/>
  <c r="W30" i="5" s="1"/>
  <c r="BY10" i="7"/>
  <c r="BZ10" i="7" s="1"/>
  <c r="V30" i="5" s="1"/>
  <c r="CC9" i="7"/>
  <c r="CD9" i="7" s="1"/>
  <c r="W29" i="5" s="1"/>
  <c r="BY9" i="7"/>
  <c r="BZ9" i="7" s="1"/>
  <c r="V29" i="5" s="1"/>
  <c r="CC8" i="7"/>
  <c r="CD8" i="7" s="1"/>
  <c r="W28" i="5" s="1"/>
  <c r="BY8" i="7"/>
  <c r="BZ8" i="7" s="1"/>
  <c r="V28" i="5" s="1"/>
  <c r="CC7" i="7"/>
  <c r="CD7" i="7" s="1"/>
  <c r="W27" i="5" s="1"/>
  <c r="BY7" i="7"/>
  <c r="BZ7" i="7" s="1"/>
  <c r="V27" i="5" s="1"/>
  <c r="CC6" i="7"/>
  <c r="CD6" i="7" s="1"/>
  <c r="W26" i="5" s="1"/>
  <c r="BY6" i="7"/>
  <c r="BZ6" i="7" s="1"/>
  <c r="V26" i="5" s="1"/>
  <c r="CC5" i="7"/>
  <c r="CD5" i="7" s="1"/>
  <c r="W24" i="5" s="1"/>
  <c r="BY5" i="7"/>
  <c r="BZ5" i="7" s="1"/>
  <c r="V24" i="5" s="1"/>
  <c r="BM11" i="7"/>
  <c r="BN11" i="7" s="1"/>
  <c r="S31" i="5" s="1"/>
  <c r="BM10" i="7"/>
  <c r="BN10" i="7" s="1"/>
  <c r="S30" i="5" s="1"/>
  <c r="BM9" i="7"/>
  <c r="BN9" i="7" s="1"/>
  <c r="S29" i="5" s="1"/>
  <c r="BM8" i="7"/>
  <c r="BN8" i="7" s="1"/>
  <c r="S28" i="5" s="1"/>
  <c r="BM7" i="7"/>
  <c r="BN7" i="7" s="1"/>
  <c r="S27" i="5" s="1"/>
  <c r="BM6" i="7"/>
  <c r="BN6" i="7" s="1"/>
  <c r="S26" i="5" s="1"/>
  <c r="BM5" i="7"/>
  <c r="BN5" i="7" s="1"/>
  <c r="S24" i="5" s="1"/>
  <c r="BQ11" i="7"/>
  <c r="BR11" i="7" s="1"/>
  <c r="T31" i="5" s="1"/>
  <c r="BQ10" i="7"/>
  <c r="BR10" i="7" s="1"/>
  <c r="T30" i="5" s="1"/>
  <c r="BQ9" i="7"/>
  <c r="BR9" i="7" s="1"/>
  <c r="T29" i="5" s="1"/>
  <c r="BQ8" i="7"/>
  <c r="BR8" i="7" s="1"/>
  <c r="T28" i="5" s="1"/>
  <c r="BQ7" i="7"/>
  <c r="BR7" i="7" s="1"/>
  <c r="T27" i="5" s="1"/>
  <c r="BQ6" i="7"/>
  <c r="BR6" i="7" s="1"/>
  <c r="T26" i="5" s="1"/>
  <c r="BQ5" i="7"/>
  <c r="BR5" i="7" s="1"/>
  <c r="T24" i="5" s="1"/>
  <c r="BE11" i="7"/>
  <c r="BF11" i="7" s="1"/>
  <c r="Q31" i="5" s="1"/>
  <c r="BE10" i="7"/>
  <c r="BF10" i="7" s="1"/>
  <c r="Q30" i="5" s="1"/>
  <c r="BE9" i="7"/>
  <c r="BF9" i="7" s="1"/>
  <c r="Q29" i="5" s="1"/>
  <c r="BE8" i="7"/>
  <c r="BF8" i="7" s="1"/>
  <c r="Q28" i="5" s="1"/>
  <c r="BE7" i="7"/>
  <c r="BF7" i="7" s="1"/>
  <c r="Q27" i="5" s="1"/>
  <c r="BE6" i="7"/>
  <c r="BF6" i="7" s="1"/>
  <c r="Q26" i="5" s="1"/>
  <c r="BE5" i="7"/>
  <c r="BF5" i="7" s="1"/>
  <c r="Q24" i="5" s="1"/>
  <c r="EK11" i="7"/>
  <c r="EL11" i="7" s="1"/>
  <c r="AL31" i="5" s="1"/>
  <c r="EG11" i="7"/>
  <c r="EH11" i="7" s="1"/>
  <c r="AK31" i="5" s="1"/>
  <c r="EK10" i="7"/>
  <c r="EL10" i="7" s="1"/>
  <c r="AL30" i="5" s="1"/>
  <c r="EG10" i="7"/>
  <c r="EH10" i="7" s="1"/>
  <c r="AK30" i="5" s="1"/>
  <c r="EK9" i="7"/>
  <c r="EL9" i="7" s="1"/>
  <c r="AL29" i="5" s="1"/>
  <c r="EG9" i="7"/>
  <c r="EH9" i="7" s="1"/>
  <c r="AK29" i="5" s="1"/>
  <c r="EK8" i="7"/>
  <c r="EL8" i="7" s="1"/>
  <c r="AL28" i="5" s="1"/>
  <c r="EG8" i="7"/>
  <c r="EH8" i="7" s="1"/>
  <c r="AK28" i="5" s="1"/>
  <c r="EK7" i="7"/>
  <c r="EL7" i="7" s="1"/>
  <c r="AL27" i="5" s="1"/>
  <c r="EG7" i="7"/>
  <c r="EH7" i="7" s="1"/>
  <c r="AK27" i="5" s="1"/>
  <c r="EK6" i="7"/>
  <c r="EL6" i="7" s="1"/>
  <c r="AL26" i="5" s="1"/>
  <c r="EG6" i="7"/>
  <c r="EH6" i="7" s="1"/>
  <c r="AK26" i="5" s="1"/>
  <c r="EK5" i="7"/>
  <c r="EL5" i="7" s="1"/>
  <c r="AL24" i="5" s="1"/>
  <c r="EG5" i="7"/>
  <c r="EH5" i="7" s="1"/>
  <c r="AK24" i="5" s="1"/>
  <c r="DY11" i="7"/>
  <c r="DZ11" i="7" s="1"/>
  <c r="AI31" i="5" s="1"/>
  <c r="DU11" i="7"/>
  <c r="DV11" i="7" s="1"/>
  <c r="AH31" i="5" s="1"/>
  <c r="DY10" i="7"/>
  <c r="DZ10" i="7" s="1"/>
  <c r="AI30" i="5" s="1"/>
  <c r="DU10" i="7"/>
  <c r="DV10" i="7" s="1"/>
  <c r="AH30" i="5" s="1"/>
  <c r="DY9" i="7"/>
  <c r="DZ9" i="7" s="1"/>
  <c r="AI29" i="5" s="1"/>
  <c r="DU9" i="7"/>
  <c r="DV9" i="7" s="1"/>
  <c r="AH29" i="5" s="1"/>
  <c r="DY8" i="7"/>
  <c r="DZ8" i="7" s="1"/>
  <c r="AI28" i="5" s="1"/>
  <c r="DU8" i="7"/>
  <c r="DV8" i="7" s="1"/>
  <c r="AH28" i="5" s="1"/>
  <c r="DY7" i="7"/>
  <c r="DZ7" i="7" s="1"/>
  <c r="AI27" i="5" s="1"/>
  <c r="DU7" i="7"/>
  <c r="DV7" i="7" s="1"/>
  <c r="AH27" i="5" s="1"/>
  <c r="DY6" i="7"/>
  <c r="DZ6" i="7" s="1"/>
  <c r="AI26" i="5" s="1"/>
  <c r="DU6" i="7"/>
  <c r="DV6" i="7" s="1"/>
  <c r="AH26" i="5" s="1"/>
  <c r="DY5" i="7"/>
  <c r="DZ5" i="7" s="1"/>
  <c r="AI24" i="5" s="1"/>
  <c r="DU5" i="7"/>
  <c r="DV5" i="7" s="1"/>
  <c r="AH24" i="5" s="1"/>
  <c r="DI11" i="7"/>
  <c r="DJ11" i="7" s="1"/>
  <c r="AE31" i="5" s="1"/>
  <c r="DI10" i="7"/>
  <c r="DJ10" i="7" s="1"/>
  <c r="AE30" i="5" s="1"/>
  <c r="DI9" i="7"/>
  <c r="DJ9" i="7" s="1"/>
  <c r="AE29" i="5" s="1"/>
  <c r="DI8" i="7"/>
  <c r="DJ8" i="7" s="1"/>
  <c r="AE28" i="5" s="1"/>
  <c r="DI7" i="7"/>
  <c r="DJ7" i="7" s="1"/>
  <c r="AE27" i="5" s="1"/>
  <c r="DI6" i="7"/>
  <c r="DJ6" i="7" s="1"/>
  <c r="AE26" i="5" s="1"/>
  <c r="DI5" i="7"/>
  <c r="DJ5" i="7" s="1"/>
  <c r="AE24" i="5" s="1"/>
  <c r="DM11" i="7"/>
  <c r="DN11" i="7" s="1"/>
  <c r="AF31" i="5" s="1"/>
  <c r="DM10" i="7"/>
  <c r="DN10" i="7" s="1"/>
  <c r="AF30" i="5" s="1"/>
  <c r="DM9" i="7"/>
  <c r="DN9" i="7" s="1"/>
  <c r="AF29" i="5" s="1"/>
  <c r="DM8" i="7"/>
  <c r="DN8" i="7" s="1"/>
  <c r="AF28" i="5" s="1"/>
  <c r="DM7" i="7"/>
  <c r="DN7" i="7" s="1"/>
  <c r="AF27" i="5" s="1"/>
  <c r="DM6" i="7"/>
  <c r="DN6" i="7" s="1"/>
  <c r="AF26" i="5" s="1"/>
  <c r="DM5" i="7"/>
  <c r="DN5" i="7" s="1"/>
  <c r="AF24" i="5" s="1"/>
  <c r="DA11" i="7"/>
  <c r="DB11" i="7" s="1"/>
  <c r="AC31" i="5" s="1"/>
  <c r="DA10" i="7"/>
  <c r="DB10" i="7" s="1"/>
  <c r="AC30" i="5" s="1"/>
  <c r="DA9" i="7"/>
  <c r="DB9" i="7" s="1"/>
  <c r="AC29" i="5" s="1"/>
  <c r="DA8" i="7"/>
  <c r="DB8" i="7" s="1"/>
  <c r="AC28" i="5" s="1"/>
  <c r="DA7" i="7"/>
  <c r="DB7" i="7" s="1"/>
  <c r="AC27" i="5" s="1"/>
  <c r="DA6" i="7"/>
  <c r="DB6" i="7" s="1"/>
  <c r="AC26" i="5" s="1"/>
  <c r="DA5" i="7"/>
  <c r="DB5" i="7" s="1"/>
  <c r="AC24" i="5" s="1"/>
  <c r="ES11" i="7"/>
  <c r="ET11" i="7" s="1"/>
  <c r="AN31" i="5" s="1"/>
  <c r="ES10" i="7"/>
  <c r="ET10" i="7" s="1"/>
  <c r="AN30" i="5" s="1"/>
  <c r="ES9" i="7"/>
  <c r="ET9" i="7" s="1"/>
  <c r="AN29" i="5" s="1"/>
  <c r="ES8" i="7"/>
  <c r="ET8" i="7" s="1"/>
  <c r="AN28" i="5" s="1"/>
  <c r="ES7" i="7"/>
  <c r="ET7" i="7" s="1"/>
  <c r="AN27" i="5" s="1"/>
  <c r="ES6" i="7"/>
  <c r="ET6" i="7" s="1"/>
  <c r="AN26" i="5" s="1"/>
  <c r="ES5" i="7"/>
  <c r="ET5" i="7" s="1"/>
  <c r="AN24" i="5" s="1"/>
  <c r="EW11" i="7"/>
  <c r="EX11" i="7" s="1"/>
  <c r="AO31" i="5" s="1"/>
  <c r="EW10" i="7"/>
  <c r="EX10" i="7" s="1"/>
  <c r="AO30" i="5" s="1"/>
  <c r="EW9" i="7"/>
  <c r="EX9" i="7" s="1"/>
  <c r="AO29" i="5" s="1"/>
  <c r="EW8" i="7"/>
  <c r="EX8" i="7" s="1"/>
  <c r="AO28" i="5" s="1"/>
  <c r="EW7" i="7"/>
  <c r="EX7" i="7" s="1"/>
  <c r="AO27" i="5" s="1"/>
  <c r="EW6" i="7"/>
  <c r="EX6" i="7" s="1"/>
  <c r="AO26" i="5" s="1"/>
  <c r="EW5" i="7"/>
  <c r="EX5" i="7" s="1"/>
  <c r="AO24" i="5" s="1"/>
  <c r="FE11" i="7"/>
  <c r="FF11" i="7" s="1"/>
  <c r="AQ31" i="5" s="1"/>
  <c r="FE10" i="7"/>
  <c r="FF10" i="7" s="1"/>
  <c r="AQ30" i="5" s="1"/>
  <c r="FE9" i="7"/>
  <c r="FF9" i="7" s="1"/>
  <c r="AQ29" i="5" s="1"/>
  <c r="FE8" i="7"/>
  <c r="FF8" i="7" s="1"/>
  <c r="AQ28" i="5" s="1"/>
  <c r="FE7" i="7"/>
  <c r="FF7" i="7" s="1"/>
  <c r="AQ27" i="5" s="1"/>
  <c r="FE6" i="7"/>
  <c r="FF6" i="7" s="1"/>
  <c r="AQ26" i="5" s="1"/>
  <c r="FE5" i="7"/>
  <c r="FF5" i="7" s="1"/>
  <c r="AQ24" i="5" s="1"/>
  <c r="FI11" i="7"/>
  <c r="FJ11" i="7" s="1"/>
  <c r="FI10" i="7"/>
  <c r="FJ10" i="7" s="1"/>
  <c r="FI9" i="7"/>
  <c r="FJ9" i="7" s="1"/>
  <c r="FI8" i="7"/>
  <c r="FJ8" i="7" s="1"/>
  <c r="FI7" i="7"/>
  <c r="FJ7" i="7" s="1"/>
  <c r="FI6" i="7"/>
  <c r="FJ6" i="7" s="1"/>
  <c r="FI5" i="7"/>
  <c r="FJ5" i="7" s="1"/>
  <c r="C15" i="5"/>
  <c r="C16" i="5"/>
  <c r="C17" i="5"/>
  <c r="C18" i="5"/>
  <c r="C19" i="5"/>
  <c r="C20" i="5"/>
  <c r="C13" i="5"/>
  <c r="C4" i="5"/>
  <c r="C5" i="5"/>
  <c r="C6" i="5"/>
  <c r="C7" i="5"/>
  <c r="C8" i="5"/>
  <c r="C9" i="5"/>
  <c r="C3" i="5"/>
  <c r="E11" i="7"/>
  <c r="F11" i="7" s="1"/>
  <c r="C31" i="5" s="1"/>
  <c r="E10" i="7"/>
  <c r="F10" i="7" s="1"/>
  <c r="C30" i="5" s="1"/>
  <c r="E9" i="7"/>
  <c r="F9" i="7" s="1"/>
  <c r="C29" i="5" s="1"/>
  <c r="E8" i="7"/>
  <c r="F8" i="7" s="1"/>
  <c r="C28" i="5" s="1"/>
  <c r="E7" i="7"/>
  <c r="F7" i="7" s="1"/>
  <c r="C27" i="5" s="1"/>
  <c r="E6" i="7"/>
  <c r="F6" i="7" s="1"/>
  <c r="C26" i="5" s="1"/>
  <c r="E5" i="7"/>
  <c r="F5" i="7" s="1"/>
  <c r="C24" i="5" s="1"/>
  <c r="E11" i="6"/>
  <c r="F11" i="6" s="1"/>
  <c r="E10" i="6"/>
  <c r="F10" i="6" s="1"/>
  <c r="E9" i="6"/>
  <c r="F9" i="6" s="1"/>
  <c r="F8" i="6"/>
  <c r="E8" i="6"/>
  <c r="E7" i="6"/>
  <c r="F7" i="6" s="1"/>
  <c r="E6" i="6"/>
  <c r="F6" i="6" s="1"/>
  <c r="E5" i="6"/>
  <c r="F5" i="6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AT36" i="5" l="1"/>
  <c r="AU36" i="5"/>
  <c r="E36" i="5"/>
  <c r="H36" i="5"/>
  <c r="P36" i="5"/>
  <c r="X36" i="5"/>
  <c r="AF36" i="5"/>
  <c r="AN36" i="5"/>
  <c r="I36" i="5"/>
  <c r="Q36" i="5"/>
  <c r="Y36" i="5"/>
  <c r="AG36" i="5"/>
  <c r="J36" i="5"/>
  <c r="R36" i="5"/>
  <c r="Z36" i="5"/>
  <c r="AH36" i="5"/>
  <c r="K36" i="5"/>
  <c r="S36" i="5"/>
  <c r="AA36" i="5"/>
  <c r="AI36" i="5"/>
  <c r="L36" i="5"/>
  <c r="T36" i="5"/>
  <c r="AB36" i="5"/>
  <c r="AJ36" i="5"/>
  <c r="O36" i="5"/>
  <c r="M36" i="5"/>
  <c r="U36" i="5"/>
  <c r="AC36" i="5"/>
  <c r="AK36" i="5"/>
  <c r="W36" i="5"/>
  <c r="F36" i="5"/>
  <c r="N36" i="5"/>
  <c r="V36" i="5"/>
  <c r="AD36" i="5"/>
  <c r="AL36" i="5"/>
  <c r="G36" i="5"/>
  <c r="AE36" i="5"/>
  <c r="AM36" i="5"/>
  <c r="AO36" i="5"/>
  <c r="AP36" i="5"/>
  <c r="AS36" i="5"/>
  <c r="AQ36" i="5"/>
  <c r="AR36" i="5"/>
  <c r="E25" i="5"/>
  <c r="J25" i="5"/>
  <c r="G25" i="5"/>
  <c r="H25" i="5"/>
  <c r="K25" i="5"/>
  <c r="N25" i="5"/>
  <c r="P25" i="5"/>
  <c r="M25" i="5"/>
  <c r="Z25" i="5"/>
  <c r="S25" i="5"/>
  <c r="W25" i="5"/>
  <c r="Q25" i="5"/>
  <c r="V25" i="5"/>
  <c r="T25" i="5"/>
  <c r="Y25" i="5"/>
  <c r="AB25" i="5"/>
  <c r="AL25" i="5"/>
  <c r="AO25" i="5"/>
  <c r="AH25" i="5"/>
  <c r="AI25" i="5"/>
  <c r="AF25" i="5"/>
  <c r="AC25" i="5"/>
  <c r="AE25" i="5"/>
  <c r="AN25" i="5"/>
  <c r="AK25" i="5"/>
  <c r="AQ25" i="5"/>
  <c r="M11" i="7"/>
  <c r="N11" i="7" s="1"/>
  <c r="F31" i="5" s="1"/>
  <c r="Y11" i="7"/>
  <c r="Z11" i="7" s="1"/>
  <c r="I31" i="5" s="1"/>
  <c r="AK11" i="7"/>
  <c r="AL11" i="7" s="1"/>
  <c r="L31" i="5" s="1"/>
  <c r="AW11" i="7"/>
  <c r="AX11" i="7" s="1"/>
  <c r="O31" i="5" s="1"/>
  <c r="BI11" i="7"/>
  <c r="BJ11" i="7" s="1"/>
  <c r="R31" i="5" s="1"/>
  <c r="BU11" i="7"/>
  <c r="BV11" i="7" s="1"/>
  <c r="U31" i="5" s="1"/>
  <c r="CG11" i="7"/>
  <c r="CH11" i="7" s="1"/>
  <c r="X31" i="5" s="1"/>
  <c r="CS11" i="7"/>
  <c r="CT11" i="7" s="1"/>
  <c r="AA31" i="5" s="1"/>
  <c r="DE11" i="7"/>
  <c r="DF11" i="7" s="1"/>
  <c r="AD31" i="5" s="1"/>
  <c r="DQ11" i="7"/>
  <c r="DR11" i="7" s="1"/>
  <c r="AG31" i="5" s="1"/>
  <c r="EC11" i="7"/>
  <c r="ED11" i="7" s="1"/>
  <c r="AJ31" i="5" s="1"/>
  <c r="EO11" i="7"/>
  <c r="EP11" i="7" s="1"/>
  <c r="AM31" i="5" s="1"/>
  <c r="FA11" i="7"/>
  <c r="FB11" i="7" s="1"/>
  <c r="AP31" i="5" s="1"/>
  <c r="M10" i="7"/>
  <c r="N10" i="7" s="1"/>
  <c r="F30" i="5" s="1"/>
  <c r="Y10" i="7"/>
  <c r="Z10" i="7" s="1"/>
  <c r="I30" i="5" s="1"/>
  <c r="AK10" i="7"/>
  <c r="AL10" i="7" s="1"/>
  <c r="L30" i="5" s="1"/>
  <c r="AW10" i="7"/>
  <c r="AX10" i="7" s="1"/>
  <c r="O30" i="5" s="1"/>
  <c r="BI10" i="7"/>
  <c r="BJ10" i="7" s="1"/>
  <c r="R30" i="5" s="1"/>
  <c r="BU10" i="7"/>
  <c r="BV10" i="7" s="1"/>
  <c r="U30" i="5" s="1"/>
  <c r="CG10" i="7"/>
  <c r="CH10" i="7" s="1"/>
  <c r="X30" i="5" s="1"/>
  <c r="CS10" i="7"/>
  <c r="CT10" i="7" s="1"/>
  <c r="AA30" i="5" s="1"/>
  <c r="DE10" i="7"/>
  <c r="DF10" i="7" s="1"/>
  <c r="AD30" i="5" s="1"/>
  <c r="DQ10" i="7"/>
  <c r="DR10" i="7" s="1"/>
  <c r="AG30" i="5" s="1"/>
  <c r="EC10" i="7"/>
  <c r="ED10" i="7" s="1"/>
  <c r="AJ30" i="5" s="1"/>
  <c r="EO10" i="7"/>
  <c r="EP10" i="7" s="1"/>
  <c r="AM30" i="5" s="1"/>
  <c r="FA10" i="7"/>
  <c r="FB10" i="7" s="1"/>
  <c r="AP30" i="5" s="1"/>
  <c r="M9" i="7"/>
  <c r="N9" i="7" s="1"/>
  <c r="F29" i="5" s="1"/>
  <c r="Y9" i="7"/>
  <c r="Z9" i="7" s="1"/>
  <c r="I29" i="5" s="1"/>
  <c r="AK9" i="7"/>
  <c r="AL9" i="7" s="1"/>
  <c r="L29" i="5" s="1"/>
  <c r="AW9" i="7"/>
  <c r="AX9" i="7" s="1"/>
  <c r="O29" i="5" s="1"/>
  <c r="BI9" i="7"/>
  <c r="BJ9" i="7" s="1"/>
  <c r="R29" i="5" s="1"/>
  <c r="BU9" i="7"/>
  <c r="BV9" i="7" s="1"/>
  <c r="U29" i="5" s="1"/>
  <c r="CG9" i="7"/>
  <c r="CH9" i="7" s="1"/>
  <c r="X29" i="5" s="1"/>
  <c r="CS9" i="7"/>
  <c r="CT9" i="7" s="1"/>
  <c r="AA29" i="5" s="1"/>
  <c r="DE9" i="7"/>
  <c r="DF9" i="7" s="1"/>
  <c r="AD29" i="5" s="1"/>
  <c r="DQ9" i="7"/>
  <c r="DR9" i="7" s="1"/>
  <c r="AG29" i="5" s="1"/>
  <c r="EC9" i="7"/>
  <c r="ED9" i="7" s="1"/>
  <c r="AJ29" i="5" s="1"/>
  <c r="EO9" i="7"/>
  <c r="EP9" i="7" s="1"/>
  <c r="AM29" i="5" s="1"/>
  <c r="FA9" i="7"/>
  <c r="FB9" i="7" s="1"/>
  <c r="AP29" i="5" s="1"/>
  <c r="M8" i="7"/>
  <c r="N8" i="7" s="1"/>
  <c r="F28" i="5" s="1"/>
  <c r="Y8" i="7"/>
  <c r="Z8" i="7" s="1"/>
  <c r="I28" i="5" s="1"/>
  <c r="AK8" i="7"/>
  <c r="AL8" i="7" s="1"/>
  <c r="L28" i="5" s="1"/>
  <c r="AW8" i="7"/>
  <c r="AX8" i="7" s="1"/>
  <c r="O28" i="5" s="1"/>
  <c r="BI8" i="7"/>
  <c r="BJ8" i="7" s="1"/>
  <c r="R28" i="5" s="1"/>
  <c r="BU8" i="7"/>
  <c r="BV8" i="7" s="1"/>
  <c r="U28" i="5" s="1"/>
  <c r="CG8" i="7"/>
  <c r="CH8" i="7" s="1"/>
  <c r="X28" i="5" s="1"/>
  <c r="CS8" i="7"/>
  <c r="CT8" i="7" s="1"/>
  <c r="AA28" i="5" s="1"/>
  <c r="DE8" i="7"/>
  <c r="DF8" i="7" s="1"/>
  <c r="AD28" i="5" s="1"/>
  <c r="DQ8" i="7"/>
  <c r="DR8" i="7" s="1"/>
  <c r="AG28" i="5" s="1"/>
  <c r="EC8" i="7"/>
  <c r="ED8" i="7" s="1"/>
  <c r="AJ28" i="5" s="1"/>
  <c r="EO8" i="7"/>
  <c r="EP8" i="7" s="1"/>
  <c r="AM28" i="5" s="1"/>
  <c r="FA8" i="7"/>
  <c r="FB8" i="7" s="1"/>
  <c r="AP28" i="5" s="1"/>
  <c r="M7" i="7"/>
  <c r="N7" i="7" s="1"/>
  <c r="F27" i="5" s="1"/>
  <c r="Y7" i="7"/>
  <c r="Z7" i="7" s="1"/>
  <c r="I27" i="5" s="1"/>
  <c r="AK7" i="7"/>
  <c r="AL7" i="7" s="1"/>
  <c r="L27" i="5" s="1"/>
  <c r="AW7" i="7"/>
  <c r="AX7" i="7" s="1"/>
  <c r="O27" i="5" s="1"/>
  <c r="BI7" i="7"/>
  <c r="BJ7" i="7" s="1"/>
  <c r="R27" i="5" s="1"/>
  <c r="BU7" i="7"/>
  <c r="BV7" i="7" s="1"/>
  <c r="U27" i="5" s="1"/>
  <c r="CG7" i="7"/>
  <c r="CH7" i="7" s="1"/>
  <c r="X27" i="5" s="1"/>
  <c r="CS7" i="7"/>
  <c r="CT7" i="7" s="1"/>
  <c r="AA27" i="5" s="1"/>
  <c r="DE7" i="7"/>
  <c r="DF7" i="7" s="1"/>
  <c r="AD27" i="5" s="1"/>
  <c r="DQ7" i="7"/>
  <c r="DR7" i="7" s="1"/>
  <c r="AG27" i="5" s="1"/>
  <c r="EC7" i="7"/>
  <c r="ED7" i="7" s="1"/>
  <c r="AJ27" i="5" s="1"/>
  <c r="EO7" i="7"/>
  <c r="EP7" i="7" s="1"/>
  <c r="AM27" i="5" s="1"/>
  <c r="FA7" i="7"/>
  <c r="FB7" i="7" s="1"/>
  <c r="AP27" i="5" s="1"/>
  <c r="M6" i="7"/>
  <c r="N6" i="7" s="1"/>
  <c r="F26" i="5" s="1"/>
  <c r="Y6" i="7"/>
  <c r="Z6" i="7" s="1"/>
  <c r="I26" i="5" s="1"/>
  <c r="AK6" i="7"/>
  <c r="AL6" i="7" s="1"/>
  <c r="L26" i="5" s="1"/>
  <c r="AW6" i="7"/>
  <c r="AX6" i="7" s="1"/>
  <c r="O26" i="5" s="1"/>
  <c r="BI6" i="7"/>
  <c r="BJ6" i="7" s="1"/>
  <c r="R26" i="5" s="1"/>
  <c r="BU6" i="7"/>
  <c r="BV6" i="7" s="1"/>
  <c r="U26" i="5" s="1"/>
  <c r="CG6" i="7"/>
  <c r="CH6" i="7" s="1"/>
  <c r="X26" i="5" s="1"/>
  <c r="CS6" i="7"/>
  <c r="CT6" i="7" s="1"/>
  <c r="AA26" i="5" s="1"/>
  <c r="DE6" i="7"/>
  <c r="DF6" i="7" s="1"/>
  <c r="AD26" i="5" s="1"/>
  <c r="DQ6" i="7"/>
  <c r="DR6" i="7" s="1"/>
  <c r="AG26" i="5" s="1"/>
  <c r="EC6" i="7"/>
  <c r="ED6" i="7" s="1"/>
  <c r="AJ26" i="5" s="1"/>
  <c r="EO6" i="7"/>
  <c r="EP6" i="7" s="1"/>
  <c r="AM26" i="5" s="1"/>
  <c r="FA6" i="7"/>
  <c r="FB6" i="7" s="1"/>
  <c r="AP26" i="5" s="1"/>
  <c r="M5" i="7"/>
  <c r="N5" i="7" s="1"/>
  <c r="F24" i="5" s="1"/>
  <c r="F25" i="5" s="1"/>
  <c r="Y5" i="7"/>
  <c r="Z5" i="7" s="1"/>
  <c r="I24" i="5" s="1"/>
  <c r="I25" i="5" s="1"/>
  <c r="AK5" i="7"/>
  <c r="AL5" i="7" s="1"/>
  <c r="L24" i="5" s="1"/>
  <c r="L25" i="5" s="1"/>
  <c r="AW5" i="7"/>
  <c r="AX5" i="7" s="1"/>
  <c r="O24" i="5" s="1"/>
  <c r="O25" i="5" s="1"/>
  <c r="BI5" i="7"/>
  <c r="BJ5" i="7" s="1"/>
  <c r="R24" i="5" s="1"/>
  <c r="R25" i="5" s="1"/>
  <c r="BU5" i="7"/>
  <c r="BV5" i="7" s="1"/>
  <c r="U24" i="5" s="1"/>
  <c r="U25" i="5" s="1"/>
  <c r="CG5" i="7"/>
  <c r="CH5" i="7" s="1"/>
  <c r="X24" i="5" s="1"/>
  <c r="X25" i="5" s="1"/>
  <c r="CS5" i="7"/>
  <c r="CT5" i="7" s="1"/>
  <c r="AA24" i="5" s="1"/>
  <c r="AA25" i="5" s="1"/>
  <c r="DE5" i="7"/>
  <c r="DF5" i="7" s="1"/>
  <c r="AD24" i="5" s="1"/>
  <c r="AD25" i="5" s="1"/>
  <c r="DQ5" i="7"/>
  <c r="DR5" i="7" s="1"/>
  <c r="AG24" i="5" s="1"/>
  <c r="AG25" i="5" s="1"/>
  <c r="EC5" i="7"/>
  <c r="ED5" i="7" s="1"/>
  <c r="AJ24" i="5" s="1"/>
  <c r="AJ25" i="5" s="1"/>
  <c r="EO5" i="7"/>
  <c r="EP5" i="7" s="1"/>
  <c r="AM24" i="5" s="1"/>
  <c r="AM25" i="5" s="1"/>
  <c r="FA5" i="7"/>
  <c r="FB5" i="7" s="1"/>
  <c r="AP24" i="5" s="1"/>
  <c r="AP25" i="5" s="1"/>
  <c r="I11" i="6"/>
  <c r="J11" i="6" s="1"/>
  <c r="F20" i="5" s="1"/>
  <c r="M11" i="6"/>
  <c r="N11" i="6" s="1"/>
  <c r="I20" i="5" s="1"/>
  <c r="Q11" i="6"/>
  <c r="R11" i="6" s="1"/>
  <c r="L20" i="5" s="1"/>
  <c r="U11" i="6"/>
  <c r="V11" i="6" s="1"/>
  <c r="O20" i="5" s="1"/>
  <c r="Y11" i="6"/>
  <c r="Z11" i="6" s="1"/>
  <c r="R20" i="5" s="1"/>
  <c r="AC11" i="6"/>
  <c r="AD11" i="6" s="1"/>
  <c r="U20" i="5" s="1"/>
  <c r="AG11" i="6"/>
  <c r="AH11" i="6" s="1"/>
  <c r="X20" i="5" s="1"/>
  <c r="AK11" i="6"/>
  <c r="AL11" i="6" s="1"/>
  <c r="AA20" i="5" s="1"/>
  <c r="AO11" i="6"/>
  <c r="AP11" i="6" s="1"/>
  <c r="AD20" i="5" s="1"/>
  <c r="AS11" i="6"/>
  <c r="AT11" i="6" s="1"/>
  <c r="AG20" i="5" s="1"/>
  <c r="AW11" i="6"/>
  <c r="AX11" i="6" s="1"/>
  <c r="AJ20" i="5" s="1"/>
  <c r="BA11" i="6"/>
  <c r="BB11" i="6" s="1"/>
  <c r="AM20" i="5" s="1"/>
  <c r="BE11" i="6"/>
  <c r="BF11" i="6" s="1"/>
  <c r="AP20" i="5" s="1"/>
  <c r="I10" i="6"/>
  <c r="J10" i="6" s="1"/>
  <c r="F19" i="5" s="1"/>
  <c r="M10" i="6"/>
  <c r="N10" i="6" s="1"/>
  <c r="I19" i="5" s="1"/>
  <c r="Q10" i="6"/>
  <c r="R10" i="6" s="1"/>
  <c r="L19" i="5" s="1"/>
  <c r="U10" i="6"/>
  <c r="V10" i="6" s="1"/>
  <c r="O19" i="5" s="1"/>
  <c r="Y10" i="6"/>
  <c r="Z10" i="6" s="1"/>
  <c r="R19" i="5" s="1"/>
  <c r="AC10" i="6"/>
  <c r="AD10" i="6" s="1"/>
  <c r="U19" i="5" s="1"/>
  <c r="AG10" i="6"/>
  <c r="AH10" i="6" s="1"/>
  <c r="X19" i="5" s="1"/>
  <c r="AK10" i="6"/>
  <c r="AL10" i="6" s="1"/>
  <c r="AA19" i="5" s="1"/>
  <c r="AO10" i="6"/>
  <c r="AP10" i="6" s="1"/>
  <c r="AD19" i="5" s="1"/>
  <c r="AS10" i="6"/>
  <c r="AT10" i="6" s="1"/>
  <c r="AG19" i="5" s="1"/>
  <c r="AW10" i="6"/>
  <c r="AX10" i="6" s="1"/>
  <c r="AJ19" i="5" s="1"/>
  <c r="BA10" i="6"/>
  <c r="BB10" i="6" s="1"/>
  <c r="AM19" i="5" s="1"/>
  <c r="BE10" i="6"/>
  <c r="BF10" i="6" s="1"/>
  <c r="AP19" i="5" s="1"/>
  <c r="I9" i="6"/>
  <c r="J9" i="6" s="1"/>
  <c r="F18" i="5" s="1"/>
  <c r="M9" i="6"/>
  <c r="N9" i="6" s="1"/>
  <c r="I18" i="5" s="1"/>
  <c r="Q9" i="6"/>
  <c r="R9" i="6" s="1"/>
  <c r="L18" i="5" s="1"/>
  <c r="U9" i="6"/>
  <c r="V9" i="6" s="1"/>
  <c r="O18" i="5" s="1"/>
  <c r="Y9" i="6"/>
  <c r="Z9" i="6" s="1"/>
  <c r="R18" i="5" s="1"/>
  <c r="AC9" i="6"/>
  <c r="AD9" i="6" s="1"/>
  <c r="U18" i="5" s="1"/>
  <c r="AG9" i="6"/>
  <c r="AH9" i="6" s="1"/>
  <c r="X18" i="5" s="1"/>
  <c r="AK9" i="6"/>
  <c r="AL9" i="6" s="1"/>
  <c r="AA18" i="5" s="1"/>
  <c r="AO9" i="6"/>
  <c r="AP9" i="6" s="1"/>
  <c r="AD18" i="5" s="1"/>
  <c r="AS9" i="6"/>
  <c r="AT9" i="6" s="1"/>
  <c r="AG18" i="5" s="1"/>
  <c r="AW9" i="6"/>
  <c r="AX9" i="6" s="1"/>
  <c r="AJ18" i="5" s="1"/>
  <c r="BA9" i="6"/>
  <c r="BB9" i="6" s="1"/>
  <c r="AM18" i="5" s="1"/>
  <c r="BE9" i="6"/>
  <c r="BF9" i="6" s="1"/>
  <c r="AP18" i="5" s="1"/>
  <c r="I8" i="6"/>
  <c r="J8" i="6" s="1"/>
  <c r="F17" i="5" s="1"/>
  <c r="M8" i="6"/>
  <c r="N8" i="6" s="1"/>
  <c r="I17" i="5" s="1"/>
  <c r="Q8" i="6"/>
  <c r="R8" i="6" s="1"/>
  <c r="L17" i="5" s="1"/>
  <c r="U8" i="6"/>
  <c r="V8" i="6" s="1"/>
  <c r="O17" i="5" s="1"/>
  <c r="Y8" i="6"/>
  <c r="Z8" i="6" s="1"/>
  <c r="R17" i="5" s="1"/>
  <c r="AC8" i="6"/>
  <c r="AD8" i="6" s="1"/>
  <c r="U17" i="5" s="1"/>
  <c r="AG8" i="6"/>
  <c r="AH8" i="6" s="1"/>
  <c r="X17" i="5" s="1"/>
  <c r="AK8" i="6"/>
  <c r="AL8" i="6" s="1"/>
  <c r="AA17" i="5" s="1"/>
  <c r="AO8" i="6"/>
  <c r="AP8" i="6" s="1"/>
  <c r="AD17" i="5" s="1"/>
  <c r="AS8" i="6"/>
  <c r="AT8" i="6" s="1"/>
  <c r="AG17" i="5" s="1"/>
  <c r="AW8" i="6"/>
  <c r="AX8" i="6" s="1"/>
  <c r="AJ17" i="5" s="1"/>
  <c r="BA8" i="6"/>
  <c r="BB8" i="6" s="1"/>
  <c r="AM17" i="5" s="1"/>
  <c r="BE8" i="6"/>
  <c r="BF8" i="6" s="1"/>
  <c r="AP17" i="5" s="1"/>
  <c r="I7" i="6"/>
  <c r="J7" i="6" s="1"/>
  <c r="F16" i="5" s="1"/>
  <c r="M7" i="6"/>
  <c r="N7" i="6" s="1"/>
  <c r="I16" i="5" s="1"/>
  <c r="Q7" i="6"/>
  <c r="R7" i="6" s="1"/>
  <c r="L16" i="5" s="1"/>
  <c r="U7" i="6"/>
  <c r="V7" i="6" s="1"/>
  <c r="O16" i="5" s="1"/>
  <c r="Y7" i="6"/>
  <c r="Z7" i="6" s="1"/>
  <c r="R16" i="5" s="1"/>
  <c r="AC7" i="6"/>
  <c r="AD7" i="6" s="1"/>
  <c r="U16" i="5" s="1"/>
  <c r="AG7" i="6"/>
  <c r="AH7" i="6" s="1"/>
  <c r="X16" i="5" s="1"/>
  <c r="AK7" i="6"/>
  <c r="AL7" i="6" s="1"/>
  <c r="AA16" i="5" s="1"/>
  <c r="AO7" i="6"/>
  <c r="AP7" i="6" s="1"/>
  <c r="AD16" i="5" s="1"/>
  <c r="AS7" i="6"/>
  <c r="AT7" i="6" s="1"/>
  <c r="AG16" i="5" s="1"/>
  <c r="AW7" i="6"/>
  <c r="AX7" i="6" s="1"/>
  <c r="AJ16" i="5" s="1"/>
  <c r="BA7" i="6"/>
  <c r="BB7" i="6" s="1"/>
  <c r="AM16" i="5" s="1"/>
  <c r="BE7" i="6"/>
  <c r="BF7" i="6" s="1"/>
  <c r="AP16" i="5" s="1"/>
  <c r="I6" i="6"/>
  <c r="J6" i="6" s="1"/>
  <c r="F15" i="5" s="1"/>
  <c r="M6" i="6"/>
  <c r="N6" i="6" s="1"/>
  <c r="I15" i="5" s="1"/>
  <c r="Q6" i="6"/>
  <c r="R6" i="6" s="1"/>
  <c r="L15" i="5" s="1"/>
  <c r="U6" i="6"/>
  <c r="V6" i="6" s="1"/>
  <c r="O15" i="5" s="1"/>
  <c r="Y6" i="6"/>
  <c r="Z6" i="6" s="1"/>
  <c r="R15" i="5" s="1"/>
  <c r="AC6" i="6"/>
  <c r="AD6" i="6" s="1"/>
  <c r="U15" i="5" s="1"/>
  <c r="AG6" i="6"/>
  <c r="AH6" i="6" s="1"/>
  <c r="X15" i="5" s="1"/>
  <c r="AK6" i="6"/>
  <c r="AL6" i="6" s="1"/>
  <c r="AA15" i="5" s="1"/>
  <c r="AO6" i="6"/>
  <c r="AP6" i="6" s="1"/>
  <c r="AD15" i="5" s="1"/>
  <c r="AS6" i="6"/>
  <c r="AT6" i="6" s="1"/>
  <c r="AG15" i="5" s="1"/>
  <c r="AW6" i="6"/>
  <c r="AX6" i="6" s="1"/>
  <c r="AJ15" i="5" s="1"/>
  <c r="BA6" i="6"/>
  <c r="BB6" i="6" s="1"/>
  <c r="AM15" i="5" s="1"/>
  <c r="BE6" i="6"/>
  <c r="BF6" i="6" s="1"/>
  <c r="AP15" i="5" s="1"/>
  <c r="I5" i="6"/>
  <c r="J5" i="6" s="1"/>
  <c r="F13" i="5" s="1"/>
  <c r="F14" i="5" s="1"/>
  <c r="M5" i="6"/>
  <c r="N5" i="6" s="1"/>
  <c r="I13" i="5" s="1"/>
  <c r="I14" i="5" s="1"/>
  <c r="Q5" i="6"/>
  <c r="R5" i="6" s="1"/>
  <c r="L13" i="5" s="1"/>
  <c r="L14" i="5" s="1"/>
  <c r="U5" i="6"/>
  <c r="V5" i="6" s="1"/>
  <c r="O13" i="5" s="1"/>
  <c r="O14" i="5" s="1"/>
  <c r="Y5" i="6"/>
  <c r="Z5" i="6" s="1"/>
  <c r="R13" i="5" s="1"/>
  <c r="R14" i="5" s="1"/>
  <c r="AC5" i="6"/>
  <c r="AD5" i="6" s="1"/>
  <c r="U13" i="5" s="1"/>
  <c r="U14" i="5" s="1"/>
  <c r="AG5" i="6"/>
  <c r="AH5" i="6" s="1"/>
  <c r="X13" i="5" s="1"/>
  <c r="X14" i="5" s="1"/>
  <c r="AK5" i="6"/>
  <c r="AL5" i="6" s="1"/>
  <c r="AA13" i="5" s="1"/>
  <c r="AA14" i="5" s="1"/>
  <c r="AO5" i="6"/>
  <c r="AP5" i="6" s="1"/>
  <c r="AD13" i="5" s="1"/>
  <c r="AD14" i="5" s="1"/>
  <c r="AS5" i="6"/>
  <c r="AT5" i="6" s="1"/>
  <c r="AG13" i="5" s="1"/>
  <c r="AG14" i="5" s="1"/>
  <c r="AW5" i="6"/>
  <c r="AX5" i="6" s="1"/>
  <c r="AJ13" i="5" s="1"/>
  <c r="AJ14" i="5" s="1"/>
  <c r="BA5" i="6"/>
  <c r="BB5" i="6" s="1"/>
  <c r="AM13" i="5" s="1"/>
  <c r="AM14" i="5" s="1"/>
  <c r="BE5" i="6"/>
  <c r="BF5" i="6" s="1"/>
  <c r="AP13" i="5" s="1"/>
  <c r="AP14" i="5" s="1"/>
  <c r="I11" i="2"/>
  <c r="J11" i="2" s="1"/>
  <c r="F9" i="5" s="1"/>
  <c r="M11" i="2"/>
  <c r="N11" i="2" s="1"/>
  <c r="I9" i="5" s="1"/>
  <c r="Q11" i="2"/>
  <c r="R11" i="2" s="1"/>
  <c r="L9" i="5" s="1"/>
  <c r="U11" i="2"/>
  <c r="V11" i="2" s="1"/>
  <c r="O9" i="5" s="1"/>
  <c r="I10" i="2"/>
  <c r="J10" i="2" s="1"/>
  <c r="F8" i="5" s="1"/>
  <c r="M10" i="2"/>
  <c r="N10" i="2" s="1"/>
  <c r="I8" i="5" s="1"/>
  <c r="Q10" i="2"/>
  <c r="R10" i="2" s="1"/>
  <c r="L8" i="5" s="1"/>
  <c r="U10" i="2"/>
  <c r="V10" i="2" s="1"/>
  <c r="O8" i="5" s="1"/>
  <c r="I9" i="2"/>
  <c r="J9" i="2" s="1"/>
  <c r="F7" i="5" s="1"/>
  <c r="M9" i="2"/>
  <c r="N9" i="2" s="1"/>
  <c r="I7" i="5" s="1"/>
  <c r="Q9" i="2"/>
  <c r="R9" i="2" s="1"/>
  <c r="L7" i="5" s="1"/>
  <c r="U9" i="2"/>
  <c r="V9" i="2" s="1"/>
  <c r="O7" i="5" s="1"/>
  <c r="I8" i="2"/>
  <c r="J8" i="2" s="1"/>
  <c r="F6" i="5" s="1"/>
  <c r="M8" i="2"/>
  <c r="N8" i="2" s="1"/>
  <c r="I6" i="5" s="1"/>
  <c r="Q8" i="2"/>
  <c r="R8" i="2" s="1"/>
  <c r="L6" i="5" s="1"/>
  <c r="U8" i="2"/>
  <c r="V8" i="2" s="1"/>
  <c r="O6" i="5" s="1"/>
  <c r="I7" i="2"/>
  <c r="J7" i="2" s="1"/>
  <c r="F5" i="5" s="1"/>
  <c r="M7" i="2"/>
  <c r="N7" i="2" s="1"/>
  <c r="I5" i="5" s="1"/>
  <c r="Q7" i="2"/>
  <c r="R7" i="2" s="1"/>
  <c r="L5" i="5" s="1"/>
  <c r="U7" i="2"/>
  <c r="V7" i="2" s="1"/>
  <c r="O5" i="5" s="1"/>
  <c r="I6" i="2"/>
  <c r="J6" i="2" s="1"/>
  <c r="F4" i="5" s="1"/>
  <c r="M6" i="2"/>
  <c r="N6" i="2" s="1"/>
  <c r="I4" i="5" s="1"/>
  <c r="Q6" i="2"/>
  <c r="R6" i="2" s="1"/>
  <c r="L4" i="5" s="1"/>
  <c r="U6" i="2"/>
  <c r="V6" i="2" s="1"/>
  <c r="O4" i="5" s="1"/>
  <c r="I5" i="2"/>
  <c r="J5" i="2" s="1"/>
  <c r="F3" i="5" s="1"/>
  <c r="M5" i="2"/>
  <c r="N5" i="2" s="1"/>
  <c r="I3" i="5" s="1"/>
  <c r="Q5" i="2"/>
  <c r="R5" i="2" s="1"/>
  <c r="L3" i="5" s="1"/>
  <c r="U5" i="2"/>
  <c r="V5" i="2" s="1"/>
  <c r="O3" i="5" s="1"/>
  <c r="Y11" i="2"/>
  <c r="Z11" i="2" s="1"/>
  <c r="R9" i="5" s="1"/>
  <c r="AC11" i="2"/>
  <c r="AD11" i="2" s="1"/>
  <c r="U9" i="5" s="1"/>
  <c r="AG11" i="2"/>
  <c r="AH11" i="2" s="1"/>
  <c r="X9" i="5" s="1"/>
  <c r="AK11" i="2"/>
  <c r="AL11" i="2" s="1"/>
  <c r="AA9" i="5" s="1"/>
  <c r="Y10" i="2"/>
  <c r="Z10" i="2" s="1"/>
  <c r="R8" i="5" s="1"/>
  <c r="AC10" i="2"/>
  <c r="AD10" i="2" s="1"/>
  <c r="U8" i="5" s="1"/>
  <c r="AG10" i="2"/>
  <c r="AH10" i="2" s="1"/>
  <c r="X8" i="5" s="1"/>
  <c r="AK10" i="2"/>
  <c r="AL10" i="2" s="1"/>
  <c r="AA8" i="5" s="1"/>
  <c r="Y9" i="2"/>
  <c r="Z9" i="2" s="1"/>
  <c r="R7" i="5" s="1"/>
  <c r="AC9" i="2"/>
  <c r="AD9" i="2" s="1"/>
  <c r="U7" i="5" s="1"/>
  <c r="AG9" i="2"/>
  <c r="AH9" i="2" s="1"/>
  <c r="X7" i="5" s="1"/>
  <c r="AK9" i="2"/>
  <c r="AL9" i="2" s="1"/>
  <c r="AA7" i="5" s="1"/>
  <c r="Y8" i="2"/>
  <c r="Z8" i="2" s="1"/>
  <c r="R6" i="5" s="1"/>
  <c r="AC8" i="2"/>
  <c r="AD8" i="2" s="1"/>
  <c r="U6" i="5" s="1"/>
  <c r="AG8" i="2"/>
  <c r="AH8" i="2" s="1"/>
  <c r="X6" i="5" s="1"/>
  <c r="AK8" i="2"/>
  <c r="AL8" i="2" s="1"/>
  <c r="AA6" i="5" s="1"/>
  <c r="Y7" i="2"/>
  <c r="Z7" i="2" s="1"/>
  <c r="R5" i="5" s="1"/>
  <c r="AC7" i="2"/>
  <c r="AD7" i="2" s="1"/>
  <c r="U5" i="5" s="1"/>
  <c r="AG7" i="2"/>
  <c r="AH7" i="2" s="1"/>
  <c r="X5" i="5" s="1"/>
  <c r="AK7" i="2"/>
  <c r="AL7" i="2" s="1"/>
  <c r="AA5" i="5" s="1"/>
  <c r="Y6" i="2"/>
  <c r="Z6" i="2" s="1"/>
  <c r="R4" i="5" s="1"/>
  <c r="AC6" i="2"/>
  <c r="AD6" i="2" s="1"/>
  <c r="U4" i="5" s="1"/>
  <c r="AG6" i="2"/>
  <c r="AH6" i="2" s="1"/>
  <c r="X4" i="5" s="1"/>
  <c r="AK6" i="2"/>
  <c r="AL6" i="2" s="1"/>
  <c r="AA4" i="5" s="1"/>
  <c r="Y5" i="2"/>
  <c r="Z5" i="2" s="1"/>
  <c r="R3" i="5" s="1"/>
  <c r="AC5" i="2"/>
  <c r="AD5" i="2" s="1"/>
  <c r="U3" i="5" s="1"/>
  <c r="AG5" i="2"/>
  <c r="AH5" i="2" s="1"/>
  <c r="X3" i="5" s="1"/>
  <c r="AK5" i="2"/>
  <c r="AL5" i="2" s="1"/>
  <c r="AA3" i="5" s="1"/>
  <c r="AO11" i="2"/>
  <c r="AP11" i="2" s="1"/>
  <c r="AD9" i="5" s="1"/>
  <c r="AO10" i="2"/>
  <c r="AP10" i="2" s="1"/>
  <c r="AD8" i="5" s="1"/>
  <c r="AO9" i="2"/>
  <c r="AP9" i="2" s="1"/>
  <c r="AD7" i="5" s="1"/>
  <c r="AO8" i="2"/>
  <c r="AP8" i="2" s="1"/>
  <c r="AD6" i="5" s="1"/>
  <c r="AO7" i="2"/>
  <c r="AP7" i="2" s="1"/>
  <c r="AD5" i="5" s="1"/>
  <c r="AO6" i="2"/>
  <c r="AP6" i="2" s="1"/>
  <c r="AD4" i="5" s="1"/>
  <c r="AO5" i="2"/>
  <c r="AP5" i="2" s="1"/>
  <c r="AD3" i="5" s="1"/>
  <c r="AS11" i="2"/>
  <c r="AT11" i="2" s="1"/>
  <c r="AG9" i="5" s="1"/>
  <c r="AS10" i="2"/>
  <c r="AT10" i="2" s="1"/>
  <c r="AG8" i="5" s="1"/>
  <c r="AS9" i="2"/>
  <c r="AT9" i="2" s="1"/>
  <c r="AG7" i="5" s="1"/>
  <c r="AS8" i="2"/>
  <c r="AT8" i="2" s="1"/>
  <c r="AG6" i="5" s="1"/>
  <c r="AS7" i="2"/>
  <c r="AT7" i="2" s="1"/>
  <c r="AG5" i="5" s="1"/>
  <c r="AS6" i="2"/>
  <c r="AT6" i="2" s="1"/>
  <c r="AG4" i="5" s="1"/>
  <c r="AS5" i="2"/>
  <c r="AT5" i="2" s="1"/>
  <c r="AG3" i="5" s="1"/>
  <c r="AW11" i="2"/>
  <c r="AX11" i="2" s="1"/>
  <c r="AJ9" i="5" s="1"/>
  <c r="AW10" i="2"/>
  <c r="AX10" i="2" s="1"/>
  <c r="AJ8" i="5" s="1"/>
  <c r="AW9" i="2"/>
  <c r="AX9" i="2" s="1"/>
  <c r="AJ7" i="5" s="1"/>
  <c r="AW8" i="2"/>
  <c r="AX8" i="2" s="1"/>
  <c r="AJ6" i="5" s="1"/>
  <c r="AW7" i="2"/>
  <c r="AX7" i="2" s="1"/>
  <c r="AJ5" i="5" s="1"/>
  <c r="AW6" i="2"/>
  <c r="AX6" i="2" s="1"/>
  <c r="AJ4" i="5" s="1"/>
  <c r="AW5" i="2"/>
  <c r="AX5" i="2" s="1"/>
  <c r="AJ3" i="5" s="1"/>
  <c r="BA11" i="2"/>
  <c r="BB11" i="2" s="1"/>
  <c r="AM9" i="5" s="1"/>
  <c r="BA10" i="2"/>
  <c r="BB10" i="2" s="1"/>
  <c r="AM8" i="5" s="1"/>
  <c r="BA9" i="2"/>
  <c r="BB9" i="2" s="1"/>
  <c r="AM7" i="5" s="1"/>
  <c r="BA8" i="2"/>
  <c r="BB8" i="2" s="1"/>
  <c r="AM6" i="5" s="1"/>
  <c r="BA7" i="2"/>
  <c r="BB7" i="2" s="1"/>
  <c r="AM5" i="5" s="1"/>
  <c r="BA6" i="2"/>
  <c r="BB6" i="2" s="1"/>
  <c r="AM4" i="5" s="1"/>
  <c r="BA5" i="2"/>
  <c r="BB5" i="2" s="1"/>
  <c r="AM3" i="5" s="1"/>
  <c r="BE11" i="2"/>
  <c r="BF11" i="2" s="1"/>
  <c r="AP9" i="5" s="1"/>
  <c r="BE10" i="2"/>
  <c r="BF10" i="2" s="1"/>
  <c r="AP8" i="5" s="1"/>
  <c r="BE9" i="2"/>
  <c r="BF9" i="2" s="1"/>
  <c r="AP7" i="5" s="1"/>
  <c r="BE8" i="2"/>
  <c r="BF8" i="2" s="1"/>
  <c r="AP6" i="5" s="1"/>
  <c r="BE7" i="2"/>
  <c r="BF7" i="2" s="1"/>
  <c r="AP5" i="5" s="1"/>
  <c r="BE6" i="2"/>
  <c r="BF6" i="2" s="1"/>
  <c r="AP4" i="5" s="1"/>
  <c r="BE5" i="2"/>
  <c r="BF5" i="2" s="1"/>
  <c r="AP3" i="5" s="1"/>
  <c r="FM11" i="7"/>
  <c r="FN11" i="7" s="1"/>
  <c r="FM10" i="7"/>
  <c r="FN10" i="7" s="1"/>
  <c r="FM9" i="7"/>
  <c r="FN9" i="7" s="1"/>
  <c r="FM8" i="7"/>
  <c r="FN8" i="7" s="1"/>
  <c r="FM7" i="7"/>
  <c r="FN7" i="7" s="1"/>
  <c r="FM6" i="7"/>
  <c r="FN6" i="7" s="1"/>
  <c r="FM5" i="7"/>
  <c r="FN5" i="7" s="1"/>
  <c r="BI11" i="6"/>
  <c r="BJ11" i="6" s="1"/>
  <c r="AS20" i="5" s="1"/>
  <c r="BI10" i="6"/>
  <c r="BJ10" i="6" s="1"/>
  <c r="AS19" i="5" s="1"/>
  <c r="BI9" i="6"/>
  <c r="BJ9" i="6" s="1"/>
  <c r="AS18" i="5" s="1"/>
  <c r="BI8" i="6"/>
  <c r="BJ8" i="6" s="1"/>
  <c r="AS17" i="5" s="1"/>
  <c r="BI7" i="6"/>
  <c r="BJ7" i="6" s="1"/>
  <c r="AS16" i="5" s="1"/>
  <c r="BI6" i="6"/>
  <c r="BJ6" i="6" s="1"/>
  <c r="AS15" i="5" s="1"/>
  <c r="BI5" i="6"/>
  <c r="BJ5" i="6" s="1"/>
  <c r="AS13" i="5" s="1"/>
  <c r="AS14" i="5" s="1"/>
  <c r="BI6" i="2"/>
  <c r="BJ6" i="2" s="1"/>
  <c r="AS4" i="5" s="1"/>
  <c r="BI7" i="2"/>
  <c r="BJ7" i="2" s="1"/>
  <c r="AS5" i="5" s="1"/>
  <c r="BI8" i="2"/>
  <c r="BJ8" i="2" s="1"/>
  <c r="AS6" i="5" s="1"/>
  <c r="BI9" i="2"/>
  <c r="BJ9" i="2" s="1"/>
  <c r="AS7" i="5" s="1"/>
  <c r="BI10" i="2"/>
  <c r="BJ10" i="2" s="1"/>
  <c r="AS8" i="5" s="1"/>
  <c r="BI11" i="2"/>
  <c r="BJ11" i="2" s="1"/>
  <c r="AS9" i="5" s="1"/>
  <c r="BI5" i="2"/>
  <c r="BJ5" i="2" s="1"/>
  <c r="AS3" i="5" s="1"/>
  <c r="AS28" i="5" l="1"/>
  <c r="AR28" i="5"/>
  <c r="AS29" i="5"/>
  <c r="AR29" i="5"/>
  <c r="AS30" i="5"/>
  <c r="AR30" i="5"/>
  <c r="AS31" i="5"/>
  <c r="AR31" i="5"/>
  <c r="AS26" i="5"/>
  <c r="AR26" i="5"/>
  <c r="AS27" i="5"/>
  <c r="AR27" i="5"/>
  <c r="AS24" i="5"/>
  <c r="AS25" i="5" s="1"/>
  <c r="AR25" i="5"/>
</calcChain>
</file>

<file path=xl/sharedStrings.xml><?xml version="1.0" encoding="utf-8"?>
<sst xmlns="http://schemas.openxmlformats.org/spreadsheetml/2006/main" count="808" uniqueCount="133">
  <si>
    <t>事務所</t>
    <rPh sb="0" eb="2">
      <t>ジム</t>
    </rPh>
    <rPh sb="2" eb="3">
      <t>ショ</t>
    </rPh>
    <phoneticPr fontId="2"/>
  </si>
  <si>
    <t>店舗</t>
    <rPh sb="0" eb="2">
      <t>テンポ</t>
    </rPh>
    <phoneticPr fontId="2"/>
  </si>
  <si>
    <t>工場及び作業場</t>
    <rPh sb="0" eb="2">
      <t>コウジョウ</t>
    </rPh>
    <rPh sb="2" eb="3">
      <t>オヨ</t>
    </rPh>
    <rPh sb="4" eb="6">
      <t>サギョウ</t>
    </rPh>
    <rPh sb="6" eb="7">
      <t>バ</t>
    </rPh>
    <phoneticPr fontId="2"/>
  </si>
  <si>
    <t>倉庫</t>
    <rPh sb="0" eb="2">
      <t>ソウコ</t>
    </rPh>
    <phoneticPr fontId="2"/>
  </si>
  <si>
    <t>学校の校舎</t>
    <rPh sb="0" eb="2">
      <t>ガッコウ</t>
    </rPh>
    <rPh sb="3" eb="5">
      <t>コウシャ</t>
    </rPh>
    <phoneticPr fontId="2"/>
  </si>
  <si>
    <t>病院・診療所</t>
    <rPh sb="0" eb="2">
      <t>ビョウイン</t>
    </rPh>
    <rPh sb="3" eb="6">
      <t>シンリョウジョ</t>
    </rPh>
    <phoneticPr fontId="2"/>
  </si>
  <si>
    <t>その他</t>
    <rPh sb="2" eb="3">
      <t>タ</t>
    </rPh>
    <phoneticPr fontId="2"/>
  </si>
  <si>
    <t>床面積の合計　（㎡）</t>
    <rPh sb="0" eb="3">
      <t>ユカメンセキ</t>
    </rPh>
    <rPh sb="4" eb="6">
      <t>ゴウケイ</t>
    </rPh>
    <phoneticPr fontId="2"/>
  </si>
  <si>
    <t>工事費予定額（万円）</t>
    <rPh sb="0" eb="3">
      <t>コウジヒ</t>
    </rPh>
    <rPh sb="3" eb="5">
      <t>ヨテイ</t>
    </rPh>
    <rPh sb="5" eb="6">
      <t>ガク</t>
    </rPh>
    <rPh sb="7" eb="9">
      <t>マンエン</t>
    </rPh>
    <phoneticPr fontId="2"/>
  </si>
  <si>
    <t>鉄骨鉄筋コンクリート造</t>
    <phoneticPr fontId="1"/>
  </si>
  <si>
    <t>面積単価
（万円/㎡）</t>
    <rPh sb="0" eb="4">
      <t>メンセキタンカ</t>
    </rPh>
    <rPh sb="6" eb="8">
      <t>マンエン</t>
    </rPh>
    <phoneticPr fontId="1"/>
  </si>
  <si>
    <t>面積単価
（万円/坪）</t>
    <rPh sb="0" eb="4">
      <t>メンセキタンカ</t>
    </rPh>
    <rPh sb="9" eb="10">
      <t>ツボ</t>
    </rPh>
    <phoneticPr fontId="1"/>
  </si>
  <si>
    <t>令和7年5月分</t>
    <phoneticPr fontId="1"/>
  </si>
  <si>
    <t>鉄筋コンクリート造</t>
    <phoneticPr fontId="1"/>
  </si>
  <si>
    <t>鉄骨造</t>
    <phoneticPr fontId="1"/>
  </si>
  <si>
    <t>令和7年2月分</t>
    <phoneticPr fontId="1"/>
  </si>
  <si>
    <t>令和6年11月分</t>
    <phoneticPr fontId="1"/>
  </si>
  <si>
    <t>令和6年8月分</t>
    <phoneticPr fontId="1"/>
  </si>
  <si>
    <t>令和6年5月分</t>
    <phoneticPr fontId="1"/>
  </si>
  <si>
    <t>令和6年2月分</t>
    <phoneticPr fontId="1"/>
  </si>
  <si>
    <t>令和5年11月分</t>
    <phoneticPr fontId="1"/>
  </si>
  <si>
    <t>令和5年8月分</t>
    <phoneticPr fontId="1"/>
  </si>
  <si>
    <t>令和5年5月分</t>
    <phoneticPr fontId="1"/>
  </si>
  <si>
    <t>令和5年2月分</t>
    <phoneticPr fontId="1"/>
  </si>
  <si>
    <t>令和4年11月分</t>
    <phoneticPr fontId="1"/>
  </si>
  <si>
    <t>令和4年8月分</t>
    <phoneticPr fontId="1"/>
  </si>
  <si>
    <t>令和4年5月分</t>
    <phoneticPr fontId="1"/>
  </si>
  <si>
    <t>令和4年2月分</t>
    <phoneticPr fontId="1"/>
  </si>
  <si>
    <t>R7.5</t>
    <phoneticPr fontId="5"/>
  </si>
  <si>
    <t>R7.2</t>
    <phoneticPr fontId="5"/>
  </si>
  <si>
    <t>R6.11</t>
    <phoneticPr fontId="5"/>
  </si>
  <si>
    <t>R6.8</t>
    <phoneticPr fontId="5"/>
  </si>
  <si>
    <t>R6.5</t>
    <phoneticPr fontId="5"/>
  </si>
  <si>
    <t>R6.2</t>
    <phoneticPr fontId="5"/>
  </si>
  <si>
    <t>R5.11</t>
    <phoneticPr fontId="5"/>
  </si>
  <si>
    <t>R5.8</t>
    <phoneticPr fontId="5"/>
  </si>
  <si>
    <t>R5.5</t>
    <phoneticPr fontId="5"/>
  </si>
  <si>
    <t>R5.2</t>
    <phoneticPr fontId="5"/>
  </si>
  <si>
    <t>R4.11</t>
    <phoneticPr fontId="5"/>
  </si>
  <si>
    <t>R4.8</t>
    <phoneticPr fontId="5"/>
  </si>
  <si>
    <t>R4.5</t>
    <phoneticPr fontId="5"/>
  </si>
  <si>
    <t>R4.2</t>
    <phoneticPr fontId="5"/>
  </si>
  <si>
    <t>建築費指数</t>
    <rPh sb="0" eb="5">
      <t>ケンチクヒシスウ</t>
    </rPh>
    <phoneticPr fontId="1"/>
  </si>
  <si>
    <t>事務所　S造</t>
    <rPh sb="0" eb="3">
      <t>ジムショ</t>
    </rPh>
    <rPh sb="5" eb="6">
      <t>ゾウ</t>
    </rPh>
    <phoneticPr fontId="5"/>
  </si>
  <si>
    <t>指数化</t>
    <rPh sb="0" eb="3">
      <t>シスウカ</t>
    </rPh>
    <phoneticPr fontId="5"/>
  </si>
  <si>
    <t>2015（基準）</t>
    <rPh sb="5" eb="7">
      <t>キジュン</t>
    </rPh>
    <phoneticPr fontId="1"/>
  </si>
  <si>
    <t>デフレーター</t>
    <phoneticPr fontId="1"/>
  </si>
  <si>
    <t>S事務所・その他</t>
    <phoneticPr fontId="5"/>
  </si>
  <si>
    <t>デフレーター</t>
    <phoneticPr fontId="5"/>
  </si>
  <si>
    <t>建築費指数</t>
    <rPh sb="0" eb="5">
      <t>ケンチクヒシスウ</t>
    </rPh>
    <phoneticPr fontId="5"/>
  </si>
  <si>
    <t>令和7年4月分</t>
    <phoneticPr fontId="1"/>
  </si>
  <si>
    <t>令和7年3月分</t>
    <phoneticPr fontId="1"/>
  </si>
  <si>
    <t>令和7年1月分</t>
    <phoneticPr fontId="1"/>
  </si>
  <si>
    <t>R7.1</t>
  </si>
  <si>
    <t>R7.3</t>
  </si>
  <si>
    <t>R7.4</t>
  </si>
  <si>
    <t>令和6年12月分</t>
    <phoneticPr fontId="1"/>
  </si>
  <si>
    <t>令和6年9月分</t>
  </si>
  <si>
    <t>令和6年10月分</t>
  </si>
  <si>
    <t>令和6年1月分</t>
    <phoneticPr fontId="1"/>
  </si>
  <si>
    <t>令和6年3月分</t>
  </si>
  <si>
    <t>令和6年4月分</t>
  </si>
  <si>
    <t>令和6年6月分</t>
  </si>
  <si>
    <t>令和6年7月分</t>
  </si>
  <si>
    <t>R6.1</t>
  </si>
  <si>
    <t>R6.3</t>
  </si>
  <si>
    <t>R6.4</t>
  </si>
  <si>
    <t>R6.5</t>
  </si>
  <si>
    <t>R6.6</t>
  </si>
  <si>
    <t>R6.7</t>
  </si>
  <si>
    <t>R6.8</t>
  </si>
  <si>
    <t>R6.9</t>
  </si>
  <si>
    <t>R6.10</t>
  </si>
  <si>
    <t>R6.11</t>
  </si>
  <si>
    <t>R6.12</t>
  </si>
  <si>
    <t>令和5年1月分</t>
    <phoneticPr fontId="1"/>
  </si>
  <si>
    <t>令和5年12月分</t>
  </si>
  <si>
    <t>令和5年9月分</t>
  </si>
  <si>
    <t>令和5年10月分</t>
  </si>
  <si>
    <t>令和5年3月分</t>
  </si>
  <si>
    <t>令和5年4月分</t>
  </si>
  <si>
    <t>令和5年6月分</t>
  </si>
  <si>
    <t>令和5年7月分</t>
  </si>
  <si>
    <t>R5.1</t>
  </si>
  <si>
    <t>R5.2</t>
  </si>
  <si>
    <t>R5.3</t>
  </si>
  <si>
    <t>R5.4</t>
  </si>
  <si>
    <t>R5.5</t>
  </si>
  <si>
    <t>R5.6</t>
  </si>
  <si>
    <t>R5.7</t>
  </si>
  <si>
    <t>R5.8</t>
  </si>
  <si>
    <t>R5.9</t>
  </si>
  <si>
    <t>R5.10</t>
  </si>
  <si>
    <t>R5.11</t>
  </si>
  <si>
    <t>R5.12</t>
  </si>
  <si>
    <t>R4.12</t>
  </si>
  <si>
    <t>R4.1</t>
  </si>
  <si>
    <t>R4.2</t>
  </si>
  <si>
    <t>R4.3</t>
  </si>
  <si>
    <t>R4.4</t>
  </si>
  <si>
    <t>R4.5</t>
  </si>
  <si>
    <t>R4.6</t>
  </si>
  <si>
    <t>R4.7</t>
  </si>
  <si>
    <t>R4.8</t>
  </si>
  <si>
    <t>R4.9</t>
  </si>
  <si>
    <t>R4.10</t>
  </si>
  <si>
    <t>R4.11</t>
  </si>
  <si>
    <t>令和4年1月分</t>
    <phoneticPr fontId="1"/>
  </si>
  <si>
    <t>令和4年12月分</t>
  </si>
  <si>
    <t>令和4年9月分</t>
  </si>
  <si>
    <t>令和4年10月分</t>
  </si>
  <si>
    <t>令和4年6月分</t>
  </si>
  <si>
    <t>令和4年7月分</t>
  </si>
  <si>
    <t>令和4年3月分</t>
  </si>
  <si>
    <t>令和4年4月分</t>
  </si>
  <si>
    <t>着工多用途建築物</t>
    <phoneticPr fontId="5"/>
  </si>
  <si>
    <t>建築物着工統計算出指数(S造/多用途建築物)</t>
    <rPh sb="0" eb="2">
      <t>ケンチク</t>
    </rPh>
    <rPh sb="2" eb="3">
      <t>モノ</t>
    </rPh>
    <rPh sb="3" eb="5">
      <t>チャッコウ</t>
    </rPh>
    <rPh sb="5" eb="7">
      <t>トウケイ</t>
    </rPh>
    <rPh sb="7" eb="11">
      <t>サンシュツシスウ</t>
    </rPh>
    <rPh sb="13" eb="14">
      <t>ゾウ</t>
    </rPh>
    <rPh sb="15" eb="21">
      <t>タヨウトケンチクブツ</t>
    </rPh>
    <phoneticPr fontId="5"/>
  </si>
  <si>
    <t>建築物着工統計算出指数(S造/全体)</t>
    <rPh sb="0" eb="2">
      <t>ケンチク</t>
    </rPh>
    <rPh sb="2" eb="3">
      <t>モノ</t>
    </rPh>
    <rPh sb="3" eb="5">
      <t>チャッコウ</t>
    </rPh>
    <rPh sb="5" eb="7">
      <t>トウケイ</t>
    </rPh>
    <rPh sb="7" eb="11">
      <t>サンシュツシスウ</t>
    </rPh>
    <rPh sb="13" eb="14">
      <t>ゾウ</t>
    </rPh>
    <rPh sb="15" eb="17">
      <t>ゼンタイ</t>
    </rPh>
    <phoneticPr fontId="5"/>
  </si>
  <si>
    <t>全体</t>
    <rPh sb="0" eb="2">
      <t>ゼンタイ</t>
    </rPh>
    <phoneticPr fontId="2"/>
  </si>
  <si>
    <t>令和7年6月分</t>
    <phoneticPr fontId="1"/>
  </si>
  <si>
    <t>令和7年7月分</t>
    <phoneticPr fontId="1"/>
  </si>
  <si>
    <t>令和7年8月分</t>
    <phoneticPr fontId="1"/>
  </si>
  <si>
    <t>R7.6</t>
    <phoneticPr fontId="5"/>
  </si>
  <si>
    <t>R7.7</t>
    <phoneticPr fontId="5"/>
  </si>
  <si>
    <t>R7.8</t>
    <phoneticPr fontId="5"/>
  </si>
  <si>
    <t>https://www.e-stat.go.jp/stat-search/files?page=1&amp;toukei=00600120&amp;tstat=000001016965</t>
    <phoneticPr fontId="5"/>
  </si>
  <si>
    <t>令和7年9月分</t>
    <phoneticPr fontId="1"/>
  </si>
  <si>
    <t>令和7年10月分</t>
    <phoneticPr fontId="1"/>
  </si>
  <si>
    <t>令和7年11月分</t>
    <phoneticPr fontId="1"/>
  </si>
  <si>
    <t>R7.9</t>
  </si>
  <si>
    <t>R7.10</t>
  </si>
  <si>
    <t>R7.11</t>
  </si>
  <si>
    <t>R7.12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</si>
</sst>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##,###,##0;&quot;-&quot;##,###,##0"/>
    <numFmt numFmtId="177" formatCode="#,##0.0_ ;[Red]\-#,##0.0\ "/>
    <numFmt numFmtId="178" formatCode="#,##0.0_ "/>
    <numFmt numFmtId="179" formatCode="_ * #,##0.0_ ;_ * \-#,##0.0_ ;_ * &quot;-&quot;_ ;_ @_ "/>
    <numFmt numFmtId="180" formatCode="#,##0.0;[Red]\-#,##0.0"/>
    <numFmt numFmtId="181" formatCode="0.0"/>
    <numFmt numFmtId="182" formatCode="0.000"/>
  </numFmts>
  <fonts count="13">
    <font>
      <sz val="11"/>
      <color theme="1"/>
      <name val="Yu Gothic"/>
      <family val="2"/>
      <scheme val="minor"/>
    </font>
    <font>
      <sz val="6"/>
      <name val="ＭＳ Ｐゴシック"/>
      <family val="3"/>
      <charset val="128"/>
    </font>
    <font>
      <sz val="11"/>
      <color theme="1"/>
      <name val="Yu Gothic"/>
      <family val="2"/>
      <scheme val="minor"/>
    </font>
    <font>
      <sz val="10"/>
      <color theme="1"/>
      <name val="ＭＳ 明朝"/>
      <family val="1"/>
      <charset val="128"/>
    </font>
    <font>
      <b/>
      <sz val="12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Yu Gothic"/>
      <family val="3"/>
      <charset val="128"/>
      <scheme val="minor"/>
    </font>
    <font>
      <sz val="11"/>
      <color rgb="FF0070C0"/>
      <name val="Yu Gothic"/>
      <family val="2"/>
      <scheme val="minor"/>
    </font>
    <font>
      <sz val="11"/>
      <color rgb="FF0070C0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name val="Yu Gothic"/>
      <family val="2"/>
      <scheme val="minor"/>
    </font>
    <font>
      <u/>
      <sz val="11"/>
      <color theme="10"/>
      <name val="Yu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38" fontId="2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12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</cellStyleXfs>
  <cellXfs count="40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176" fontId="3" fillId="0" borderId="0" xfId="0" applyNumberFormat="1" applyFont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5" xfId="0" applyFill="1" applyBorder="1" applyAlignment="1">
      <alignment vertical="center" wrapText="1"/>
    </xf>
    <xf numFmtId="38" fontId="0" fillId="0" borderId="4" xfId="1" applyFont="1" applyBorder="1" applyAlignment="1">
      <alignment vertical="center"/>
    </xf>
    <xf numFmtId="38" fontId="0" fillId="0" borderId="0" xfId="1" applyFont="1" applyBorder="1" applyAlignment="1">
      <alignment vertical="center"/>
    </xf>
    <xf numFmtId="177" fontId="0" fillId="2" borderId="0" xfId="1" applyNumberFormat="1" applyFont="1" applyFill="1" applyBorder="1" applyAlignment="1">
      <alignment vertical="center"/>
    </xf>
    <xf numFmtId="177" fontId="0" fillId="2" borderId="5" xfId="1" applyNumberFormat="1" applyFont="1" applyFill="1" applyBorder="1" applyAlignment="1">
      <alignment vertical="center"/>
    </xf>
    <xf numFmtId="38" fontId="0" fillId="0" borderId="6" xfId="1" applyFont="1" applyBorder="1" applyAlignment="1">
      <alignment vertical="center"/>
    </xf>
    <xf numFmtId="38" fontId="0" fillId="0" borderId="7" xfId="1" applyFont="1" applyBorder="1" applyAlignment="1">
      <alignment vertical="center"/>
    </xf>
    <xf numFmtId="177" fontId="0" fillId="2" borderId="7" xfId="1" applyNumberFormat="1" applyFont="1" applyFill="1" applyBorder="1" applyAlignment="1">
      <alignment vertical="center"/>
    </xf>
    <xf numFmtId="177" fontId="0" fillId="2" borderId="8" xfId="1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vertical="center"/>
    </xf>
    <xf numFmtId="179" fontId="7" fillId="0" borderId="0" xfId="2" applyNumberFormat="1" applyFont="1" applyAlignment="1">
      <alignment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178" fontId="9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78" fontId="7" fillId="0" borderId="0" xfId="3" applyNumberFormat="1" applyFont="1" applyAlignment="1">
      <alignment vertical="center"/>
    </xf>
    <xf numFmtId="0" fontId="11" fillId="0" borderId="0" xfId="0" applyFont="1" applyAlignment="1">
      <alignment horizontal="right" vertical="center"/>
    </xf>
    <xf numFmtId="180" fontId="0" fillId="0" borderId="0" xfId="1" applyNumberFormat="1" applyFont="1" applyAlignment="1">
      <alignment vertical="center"/>
    </xf>
    <xf numFmtId="0" fontId="12" fillId="0" borderId="0" xfId="4" applyAlignment="1">
      <alignment vertical="center"/>
    </xf>
    <xf numFmtId="38" fontId="0" fillId="0" borderId="0" xfId="1" applyFont="1" applyAlignment="1">
      <alignment vertical="center"/>
    </xf>
    <xf numFmtId="177" fontId="0" fillId="2" borderId="0" xfId="1" applyNumberFormat="1" applyFont="1" applyFill="1" applyAlignment="1">
      <alignment vertical="center"/>
    </xf>
    <xf numFmtId="0" fontId="0" fillId="3" borderId="0" xfId="0" applyFill="1" applyAlignment="1">
      <alignment vertical="center"/>
    </xf>
    <xf numFmtId="179" fontId="7" fillId="3" borderId="0" xfId="2" applyNumberFormat="1" applyFont="1" applyFill="1" applyAlignment="1">
      <alignment vertical="center"/>
    </xf>
    <xf numFmtId="38" fontId="0" fillId="3" borderId="4" xfId="1" applyFont="1" applyFill="1" applyBorder="1" applyAlignment="1">
      <alignment vertical="center"/>
    </xf>
    <xf numFmtId="38" fontId="0" fillId="3" borderId="0" xfId="1" applyFont="1" applyFill="1" applyAlignment="1">
      <alignment vertical="center"/>
    </xf>
    <xf numFmtId="181" fontId="0" fillId="3" borderId="0" xfId="0" applyNumberFormat="1" applyFill="1" applyAlignment="1">
      <alignment vertical="center"/>
    </xf>
    <xf numFmtId="182" fontId="0" fillId="3" borderId="0" xfId="0" applyNumberFormat="1" applyFill="1" applyAlignment="1">
      <alignment vertical="center"/>
    </xf>
    <xf numFmtId="180" fontId="9" fillId="3" borderId="0" xfId="1" applyNumberFormat="1" applyFont="1" applyFill="1" applyAlignment="1">
      <alignment vertical="center"/>
    </xf>
  </cellXfs>
  <cellStyles count="8">
    <cellStyle name="ハイパーリンク" xfId="4" builtinId="8"/>
    <cellStyle name="桁区切り" xfId="1" builtinId="6"/>
    <cellStyle name="標準" xfId="0" builtinId="0"/>
    <cellStyle name="標準 10" xfId="5" xr:uid="{9C5B5BA4-5566-45E8-8A8D-AE65F972B666}"/>
    <cellStyle name="標準 11" xfId="6" xr:uid="{6D4AA749-25AF-41DC-A7A5-77B33B650055}"/>
    <cellStyle name="標準 2 2" xfId="3" xr:uid="{C9737C04-21BE-4D47-BF1A-9FA956013DEA}"/>
    <cellStyle name="標準 3" xfId="7" xr:uid="{68BE617F-EEC4-41E7-AFCF-B4B6D02FEDCB}"/>
    <cellStyle name="標準_RS0B030 2" xfId="2" xr:uid="{DEBCC18A-1A10-4B5B-8C43-59CDA9BEF0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集計!$D$36</c:f>
              <c:strCache>
                <c:ptCount val="1"/>
                <c:pt idx="0">
                  <c:v>建築物着工統計算出指数(S造/多用途建築物)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tx2"/>
                </a:solidFill>
                <a:prstDash val="sysDash"/>
              </a:ln>
              <a:effectLst/>
            </c:spPr>
            <c:trendlineType val="movingAvg"/>
            <c:period val="3"/>
            <c:dispRSqr val="0"/>
            <c:dispEq val="0"/>
          </c:trendline>
          <c:trendline>
            <c:spPr>
              <a:ln w="22225" cap="rnd">
                <a:solidFill>
                  <a:schemeClr val="tx2">
                    <a:lumMod val="60000"/>
                    <a:lumOff val="40000"/>
                  </a:schemeClr>
                </a:solidFill>
                <a:prstDash val="sysDash"/>
              </a:ln>
              <a:effectLst/>
            </c:spPr>
            <c:trendlineType val="movingAvg"/>
            <c:period val="6"/>
            <c:dispRSqr val="0"/>
            <c:dispEq val="0"/>
          </c:trendline>
          <c:trendline>
            <c:spPr>
              <a:ln w="22225" cap="rnd">
                <a:solidFill>
                  <a:srgbClr val="0070C0"/>
                </a:solidFill>
                <a:prstDash val="sysDash"/>
              </a:ln>
              <a:effectLst/>
            </c:spPr>
            <c:trendlineType val="movingAvg"/>
            <c:period val="12"/>
            <c:dispRSqr val="0"/>
            <c:dispEq val="0"/>
          </c:trendline>
          <c:cat>
            <c:strRef>
              <c:f>集計!$E$34:$AY$34</c:f>
              <c:strCache>
                <c:ptCount val="47"/>
                <c:pt idx="0">
                  <c:v>R4.1</c:v>
                </c:pt>
                <c:pt idx="1">
                  <c:v>R4.2</c:v>
                </c:pt>
                <c:pt idx="2">
                  <c:v>R4.3</c:v>
                </c:pt>
                <c:pt idx="3">
                  <c:v>R4.4</c:v>
                </c:pt>
                <c:pt idx="4">
                  <c:v>R4.5</c:v>
                </c:pt>
                <c:pt idx="5">
                  <c:v>R4.6</c:v>
                </c:pt>
                <c:pt idx="6">
                  <c:v>R4.7</c:v>
                </c:pt>
                <c:pt idx="7">
                  <c:v>R4.8</c:v>
                </c:pt>
                <c:pt idx="8">
                  <c:v>R4.9</c:v>
                </c:pt>
                <c:pt idx="9">
                  <c:v>R4.10</c:v>
                </c:pt>
                <c:pt idx="10">
                  <c:v>R4.11</c:v>
                </c:pt>
                <c:pt idx="11">
                  <c:v>R4.12</c:v>
                </c:pt>
                <c:pt idx="12">
                  <c:v>R5.1</c:v>
                </c:pt>
                <c:pt idx="13">
                  <c:v>R5.2</c:v>
                </c:pt>
                <c:pt idx="14">
                  <c:v>R5.3</c:v>
                </c:pt>
                <c:pt idx="15">
                  <c:v>R5.4</c:v>
                </c:pt>
                <c:pt idx="16">
                  <c:v>R5.5</c:v>
                </c:pt>
                <c:pt idx="17">
                  <c:v>R5.6</c:v>
                </c:pt>
                <c:pt idx="18">
                  <c:v>R5.7</c:v>
                </c:pt>
                <c:pt idx="19">
                  <c:v>R5.8</c:v>
                </c:pt>
                <c:pt idx="20">
                  <c:v>R5.9</c:v>
                </c:pt>
                <c:pt idx="21">
                  <c:v>R5.10</c:v>
                </c:pt>
                <c:pt idx="22">
                  <c:v>R5.11</c:v>
                </c:pt>
                <c:pt idx="23">
                  <c:v>R5.12</c:v>
                </c:pt>
                <c:pt idx="24">
                  <c:v>R6.1</c:v>
                </c:pt>
                <c:pt idx="25">
                  <c:v>R6.2</c:v>
                </c:pt>
                <c:pt idx="26">
                  <c:v>R6.3</c:v>
                </c:pt>
                <c:pt idx="27">
                  <c:v>R6.4</c:v>
                </c:pt>
                <c:pt idx="28">
                  <c:v>R6.5</c:v>
                </c:pt>
                <c:pt idx="29">
                  <c:v>R6.6</c:v>
                </c:pt>
                <c:pt idx="30">
                  <c:v>R6.7</c:v>
                </c:pt>
                <c:pt idx="31">
                  <c:v>R6.8</c:v>
                </c:pt>
                <c:pt idx="32">
                  <c:v>R6.9</c:v>
                </c:pt>
                <c:pt idx="33">
                  <c:v>R6.10</c:v>
                </c:pt>
                <c:pt idx="34">
                  <c:v>R6.11</c:v>
                </c:pt>
                <c:pt idx="35">
                  <c:v>R6.12</c:v>
                </c:pt>
                <c:pt idx="36">
                  <c:v>R7.1</c:v>
                </c:pt>
                <c:pt idx="37">
                  <c:v>R7.2</c:v>
                </c:pt>
                <c:pt idx="38">
                  <c:v>R7.3</c:v>
                </c:pt>
                <c:pt idx="39">
                  <c:v>R7.4</c:v>
                </c:pt>
                <c:pt idx="40">
                  <c:v>R7.5</c:v>
                </c:pt>
                <c:pt idx="41">
                  <c:v>R7.6</c:v>
                </c:pt>
                <c:pt idx="42">
                  <c:v>R7.7</c:v>
                </c:pt>
                <c:pt idx="43">
                  <c:v>R7.8</c:v>
                </c:pt>
                <c:pt idx="44">
                  <c:v>R7.9</c:v>
                </c:pt>
                <c:pt idx="45">
                  <c:v>R7.10</c:v>
                </c:pt>
                <c:pt idx="46">
                  <c:v>R7.11</c:v>
                </c:pt>
              </c:strCache>
            </c:strRef>
          </c:cat>
          <c:val>
            <c:numRef>
              <c:f>集計!$E$36:$AY$36</c:f>
              <c:numCache>
                <c:formatCode>#,##0.0_ </c:formatCode>
                <c:ptCount val="47"/>
                <c:pt idx="0">
                  <c:v>212.87606748365465</c:v>
                </c:pt>
                <c:pt idx="1">
                  <c:v>106.17922382902496</c:v>
                </c:pt>
                <c:pt idx="2">
                  <c:v>170.58562328365497</c:v>
                </c:pt>
                <c:pt idx="3">
                  <c:v>109.98780462256417</c:v>
                </c:pt>
                <c:pt idx="4">
                  <c:v>132.71854899022495</c:v>
                </c:pt>
                <c:pt idx="5">
                  <c:v>179.27293202188579</c:v>
                </c:pt>
                <c:pt idx="6">
                  <c:v>276.92973458204852</c:v>
                </c:pt>
                <c:pt idx="7">
                  <c:v>172.50189489894976</c:v>
                </c:pt>
                <c:pt idx="8">
                  <c:v>117.55782133935293</c:v>
                </c:pt>
                <c:pt idx="9">
                  <c:v>143.46352745990839</c:v>
                </c:pt>
                <c:pt idx="10">
                  <c:v>212.3160342862142</c:v>
                </c:pt>
                <c:pt idx="11">
                  <c:v>170.98907081044871</c:v>
                </c:pt>
                <c:pt idx="12">
                  <c:v>144.33586324268501</c:v>
                </c:pt>
                <c:pt idx="13">
                  <c:v>355.03893872333447</c:v>
                </c:pt>
                <c:pt idx="14">
                  <c:v>106.03223349220873</c:v>
                </c:pt>
                <c:pt idx="15">
                  <c:v>205.29780256482826</c:v>
                </c:pt>
                <c:pt idx="16">
                  <c:v>146.77477291466488</c:v>
                </c:pt>
                <c:pt idx="17">
                  <c:v>238.01467634260916</c:v>
                </c:pt>
                <c:pt idx="18">
                  <c:v>248.0478426166647</c:v>
                </c:pt>
                <c:pt idx="19">
                  <c:v>232.87354523960636</c:v>
                </c:pt>
                <c:pt idx="20">
                  <c:v>226.45495660128967</c:v>
                </c:pt>
                <c:pt idx="21">
                  <c:v>215.9372659111647</c:v>
                </c:pt>
                <c:pt idx="22">
                  <c:v>199.24323378500003</c:v>
                </c:pt>
                <c:pt idx="23">
                  <c:v>302.51166815682495</c:v>
                </c:pt>
                <c:pt idx="24">
                  <c:v>217.02446087847295</c:v>
                </c:pt>
                <c:pt idx="25">
                  <c:v>241.54029674533501</c:v>
                </c:pt>
                <c:pt idx="26">
                  <c:v>261.66786643506532</c:v>
                </c:pt>
                <c:pt idx="27">
                  <c:v>334.72920161574024</c:v>
                </c:pt>
                <c:pt idx="28">
                  <c:v>133.05338955829384</c:v>
                </c:pt>
                <c:pt idx="29">
                  <c:v>205.15426574688041</c:v>
                </c:pt>
                <c:pt idx="30">
                  <c:v>206.47928593146077</c:v>
                </c:pt>
                <c:pt idx="31">
                  <c:v>463.50235465965295</c:v>
                </c:pt>
                <c:pt idx="32">
                  <c:v>226.31115303130568</c:v>
                </c:pt>
                <c:pt idx="33">
                  <c:v>242.72449965470332</c:v>
                </c:pt>
                <c:pt idx="34">
                  <c:v>108.90234803493051</c:v>
                </c:pt>
                <c:pt idx="35">
                  <c:v>158.38523262000155</c:v>
                </c:pt>
                <c:pt idx="36">
                  <c:v>189.69128247290593</c:v>
                </c:pt>
                <c:pt idx="37">
                  <c:v>370.66348982192585</c:v>
                </c:pt>
                <c:pt idx="38">
                  <c:v>370.99602783163772</c:v>
                </c:pt>
                <c:pt idx="39">
                  <c:v>431.53355903631069</c:v>
                </c:pt>
                <c:pt idx="40">
                  <c:v>255.23324313597732</c:v>
                </c:pt>
                <c:pt idx="41">
                  <c:v>239.13574080489525</c:v>
                </c:pt>
                <c:pt idx="42">
                  <c:v>207.88435223745344</c:v>
                </c:pt>
                <c:pt idx="43">
                  <c:v>326.63005334930136</c:v>
                </c:pt>
                <c:pt idx="44" formatCode="#,##0.0;[Red]\-#,##0.0">
                  <c:v>299.07610391805906</c:v>
                </c:pt>
                <c:pt idx="45" formatCode="#,##0.0;[Red]\-#,##0.0">
                  <c:v>222.17988818820129</c:v>
                </c:pt>
                <c:pt idx="46" formatCode="#,##0.0;[Red]\-#,##0.0">
                  <c:v>247.46166343541955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BF-4884-8A8F-F51649D109AD}"/>
            </c:ext>
          </c:extLst>
        </c:ser>
        <c:ser>
          <c:idx val="1"/>
          <c:order val="1"/>
          <c:tx>
            <c:strRef>
              <c:f>集計!$D$39</c:f>
              <c:strCache>
                <c:ptCount val="1"/>
                <c:pt idx="0">
                  <c:v>建築費指数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集計!$E$34:$AY$34</c:f>
              <c:strCache>
                <c:ptCount val="47"/>
                <c:pt idx="0">
                  <c:v>R4.1</c:v>
                </c:pt>
                <c:pt idx="1">
                  <c:v>R4.2</c:v>
                </c:pt>
                <c:pt idx="2">
                  <c:v>R4.3</c:v>
                </c:pt>
                <c:pt idx="3">
                  <c:v>R4.4</c:v>
                </c:pt>
                <c:pt idx="4">
                  <c:v>R4.5</c:v>
                </c:pt>
                <c:pt idx="5">
                  <c:v>R4.6</c:v>
                </c:pt>
                <c:pt idx="6">
                  <c:v>R4.7</c:v>
                </c:pt>
                <c:pt idx="7">
                  <c:v>R4.8</c:v>
                </c:pt>
                <c:pt idx="8">
                  <c:v>R4.9</c:v>
                </c:pt>
                <c:pt idx="9">
                  <c:v>R4.10</c:v>
                </c:pt>
                <c:pt idx="10">
                  <c:v>R4.11</c:v>
                </c:pt>
                <c:pt idx="11">
                  <c:v>R4.12</c:v>
                </c:pt>
                <c:pt idx="12">
                  <c:v>R5.1</c:v>
                </c:pt>
                <c:pt idx="13">
                  <c:v>R5.2</c:v>
                </c:pt>
                <c:pt idx="14">
                  <c:v>R5.3</c:v>
                </c:pt>
                <c:pt idx="15">
                  <c:v>R5.4</c:v>
                </c:pt>
                <c:pt idx="16">
                  <c:v>R5.5</c:v>
                </c:pt>
                <c:pt idx="17">
                  <c:v>R5.6</c:v>
                </c:pt>
                <c:pt idx="18">
                  <c:v>R5.7</c:v>
                </c:pt>
                <c:pt idx="19">
                  <c:v>R5.8</c:v>
                </c:pt>
                <c:pt idx="20">
                  <c:v>R5.9</c:v>
                </c:pt>
                <c:pt idx="21">
                  <c:v>R5.10</c:v>
                </c:pt>
                <c:pt idx="22">
                  <c:v>R5.11</c:v>
                </c:pt>
                <c:pt idx="23">
                  <c:v>R5.12</c:v>
                </c:pt>
                <c:pt idx="24">
                  <c:v>R6.1</c:v>
                </c:pt>
                <c:pt idx="25">
                  <c:v>R6.2</c:v>
                </c:pt>
                <c:pt idx="26">
                  <c:v>R6.3</c:v>
                </c:pt>
                <c:pt idx="27">
                  <c:v>R6.4</c:v>
                </c:pt>
                <c:pt idx="28">
                  <c:v>R6.5</c:v>
                </c:pt>
                <c:pt idx="29">
                  <c:v>R6.6</c:v>
                </c:pt>
                <c:pt idx="30">
                  <c:v>R6.7</c:v>
                </c:pt>
                <c:pt idx="31">
                  <c:v>R6.8</c:v>
                </c:pt>
                <c:pt idx="32">
                  <c:v>R6.9</c:v>
                </c:pt>
                <c:pt idx="33">
                  <c:v>R6.10</c:v>
                </c:pt>
                <c:pt idx="34">
                  <c:v>R6.11</c:v>
                </c:pt>
                <c:pt idx="35">
                  <c:v>R6.12</c:v>
                </c:pt>
                <c:pt idx="36">
                  <c:v>R7.1</c:v>
                </c:pt>
                <c:pt idx="37">
                  <c:v>R7.2</c:v>
                </c:pt>
                <c:pt idx="38">
                  <c:v>R7.3</c:v>
                </c:pt>
                <c:pt idx="39">
                  <c:v>R7.4</c:v>
                </c:pt>
                <c:pt idx="40">
                  <c:v>R7.5</c:v>
                </c:pt>
                <c:pt idx="41">
                  <c:v>R7.6</c:v>
                </c:pt>
                <c:pt idx="42">
                  <c:v>R7.7</c:v>
                </c:pt>
                <c:pt idx="43">
                  <c:v>R7.8</c:v>
                </c:pt>
                <c:pt idx="44">
                  <c:v>R7.9</c:v>
                </c:pt>
                <c:pt idx="45">
                  <c:v>R7.10</c:v>
                </c:pt>
                <c:pt idx="46">
                  <c:v>R7.11</c:v>
                </c:pt>
              </c:strCache>
            </c:strRef>
          </c:cat>
          <c:val>
            <c:numRef>
              <c:f>集計!$E$39:$AY$39</c:f>
              <c:numCache>
                <c:formatCode>_ * #,##0.0_ ;_ * \-#,##0.0_ ;_ * "-"_ ;_ @_ </c:formatCode>
                <c:ptCount val="47"/>
                <c:pt idx="0" formatCode="General">
                  <c:v>113.6</c:v>
                </c:pt>
                <c:pt idx="1">
                  <c:v>113.7</c:v>
                </c:pt>
                <c:pt idx="2">
                  <c:v>114.4</c:v>
                </c:pt>
                <c:pt idx="3">
                  <c:v>115.5</c:v>
                </c:pt>
                <c:pt idx="4">
                  <c:v>116.2</c:v>
                </c:pt>
                <c:pt idx="5">
                  <c:v>118.3</c:v>
                </c:pt>
                <c:pt idx="6">
                  <c:v>118.4</c:v>
                </c:pt>
                <c:pt idx="7">
                  <c:v>120.3</c:v>
                </c:pt>
                <c:pt idx="8">
                  <c:v>122.2</c:v>
                </c:pt>
                <c:pt idx="9">
                  <c:v>122.8</c:v>
                </c:pt>
                <c:pt idx="10">
                  <c:v>123.1</c:v>
                </c:pt>
                <c:pt idx="11">
                  <c:v>124.1</c:v>
                </c:pt>
                <c:pt idx="12">
                  <c:v>124.3</c:v>
                </c:pt>
                <c:pt idx="13">
                  <c:v>124.2</c:v>
                </c:pt>
                <c:pt idx="14">
                  <c:v>124.4</c:v>
                </c:pt>
                <c:pt idx="15">
                  <c:v>124.4</c:v>
                </c:pt>
                <c:pt idx="16">
                  <c:v>124.5</c:v>
                </c:pt>
                <c:pt idx="17">
                  <c:v>126.7</c:v>
                </c:pt>
                <c:pt idx="18">
                  <c:v>126.6</c:v>
                </c:pt>
                <c:pt idx="19">
                  <c:v>127</c:v>
                </c:pt>
                <c:pt idx="20">
                  <c:v>128.80000000000001</c:v>
                </c:pt>
                <c:pt idx="21">
                  <c:v>128.69999999999999</c:v>
                </c:pt>
                <c:pt idx="22">
                  <c:v>129.4</c:v>
                </c:pt>
                <c:pt idx="23">
                  <c:v>130.69999999999999</c:v>
                </c:pt>
                <c:pt idx="24">
                  <c:v>130.9</c:v>
                </c:pt>
                <c:pt idx="25">
                  <c:v>131</c:v>
                </c:pt>
                <c:pt idx="26">
                  <c:v>132</c:v>
                </c:pt>
                <c:pt idx="27">
                  <c:v>132.1</c:v>
                </c:pt>
                <c:pt idx="28">
                  <c:v>132.6</c:v>
                </c:pt>
                <c:pt idx="29">
                  <c:v>133.4</c:v>
                </c:pt>
                <c:pt idx="30">
                  <c:v>134.69999999999999</c:v>
                </c:pt>
                <c:pt idx="31">
                  <c:v>134.80000000000001</c:v>
                </c:pt>
                <c:pt idx="32">
                  <c:v>135.69999999999999</c:v>
                </c:pt>
                <c:pt idx="33">
                  <c:v>135.30000000000001</c:v>
                </c:pt>
                <c:pt idx="34">
                  <c:v>135.19999999999999</c:v>
                </c:pt>
                <c:pt idx="35">
                  <c:v>136.9</c:v>
                </c:pt>
                <c:pt idx="36">
                  <c:v>137</c:v>
                </c:pt>
                <c:pt idx="37">
                  <c:v>137</c:v>
                </c:pt>
                <c:pt idx="38">
                  <c:v>137.6</c:v>
                </c:pt>
                <c:pt idx="39">
                  <c:v>137.4</c:v>
                </c:pt>
                <c:pt idx="40">
                  <c:v>138</c:v>
                </c:pt>
                <c:pt idx="41">
                  <c:v>138.80000000000001</c:v>
                </c:pt>
                <c:pt idx="42">
                  <c:v>138.69999999999999</c:v>
                </c:pt>
                <c:pt idx="43">
                  <c:v>138.9</c:v>
                </c:pt>
                <c:pt idx="44">
                  <c:v>139.5</c:v>
                </c:pt>
                <c:pt idx="45" formatCode="General">
                  <c:v>139.5</c:v>
                </c:pt>
                <c:pt idx="46" formatCode="General">
                  <c:v>139.69999999999999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BF-4884-8A8F-F51649D109AD}"/>
            </c:ext>
          </c:extLst>
        </c:ser>
        <c:ser>
          <c:idx val="2"/>
          <c:order val="2"/>
          <c:tx>
            <c:strRef>
              <c:f>集計!$D$42</c:f>
              <c:strCache>
                <c:ptCount val="1"/>
                <c:pt idx="0">
                  <c:v>デフレーター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集計!$E$34:$AY$34</c:f>
              <c:strCache>
                <c:ptCount val="47"/>
                <c:pt idx="0">
                  <c:v>R4.1</c:v>
                </c:pt>
                <c:pt idx="1">
                  <c:v>R4.2</c:v>
                </c:pt>
                <c:pt idx="2">
                  <c:v>R4.3</c:v>
                </c:pt>
                <c:pt idx="3">
                  <c:v>R4.4</c:v>
                </c:pt>
                <c:pt idx="4">
                  <c:v>R4.5</c:v>
                </c:pt>
                <c:pt idx="5">
                  <c:v>R4.6</c:v>
                </c:pt>
                <c:pt idx="6">
                  <c:v>R4.7</c:v>
                </c:pt>
                <c:pt idx="7">
                  <c:v>R4.8</c:v>
                </c:pt>
                <c:pt idx="8">
                  <c:v>R4.9</c:v>
                </c:pt>
                <c:pt idx="9">
                  <c:v>R4.10</c:v>
                </c:pt>
                <c:pt idx="10">
                  <c:v>R4.11</c:v>
                </c:pt>
                <c:pt idx="11">
                  <c:v>R4.12</c:v>
                </c:pt>
                <c:pt idx="12">
                  <c:v>R5.1</c:v>
                </c:pt>
                <c:pt idx="13">
                  <c:v>R5.2</c:v>
                </c:pt>
                <c:pt idx="14">
                  <c:v>R5.3</c:v>
                </c:pt>
                <c:pt idx="15">
                  <c:v>R5.4</c:v>
                </c:pt>
                <c:pt idx="16">
                  <c:v>R5.5</c:v>
                </c:pt>
                <c:pt idx="17">
                  <c:v>R5.6</c:v>
                </c:pt>
                <c:pt idx="18">
                  <c:v>R5.7</c:v>
                </c:pt>
                <c:pt idx="19">
                  <c:v>R5.8</c:v>
                </c:pt>
                <c:pt idx="20">
                  <c:v>R5.9</c:v>
                </c:pt>
                <c:pt idx="21">
                  <c:v>R5.10</c:v>
                </c:pt>
                <c:pt idx="22">
                  <c:v>R5.11</c:v>
                </c:pt>
                <c:pt idx="23">
                  <c:v>R5.12</c:v>
                </c:pt>
                <c:pt idx="24">
                  <c:v>R6.1</c:v>
                </c:pt>
                <c:pt idx="25">
                  <c:v>R6.2</c:v>
                </c:pt>
                <c:pt idx="26">
                  <c:v>R6.3</c:v>
                </c:pt>
                <c:pt idx="27">
                  <c:v>R6.4</c:v>
                </c:pt>
                <c:pt idx="28">
                  <c:v>R6.5</c:v>
                </c:pt>
                <c:pt idx="29">
                  <c:v>R6.6</c:v>
                </c:pt>
                <c:pt idx="30">
                  <c:v>R6.7</c:v>
                </c:pt>
                <c:pt idx="31">
                  <c:v>R6.8</c:v>
                </c:pt>
                <c:pt idx="32">
                  <c:v>R6.9</c:v>
                </c:pt>
                <c:pt idx="33">
                  <c:v>R6.10</c:v>
                </c:pt>
                <c:pt idx="34">
                  <c:v>R6.11</c:v>
                </c:pt>
                <c:pt idx="35">
                  <c:v>R6.12</c:v>
                </c:pt>
                <c:pt idx="36">
                  <c:v>R7.1</c:v>
                </c:pt>
                <c:pt idx="37">
                  <c:v>R7.2</c:v>
                </c:pt>
                <c:pt idx="38">
                  <c:v>R7.3</c:v>
                </c:pt>
                <c:pt idx="39">
                  <c:v>R7.4</c:v>
                </c:pt>
                <c:pt idx="40">
                  <c:v>R7.5</c:v>
                </c:pt>
                <c:pt idx="41">
                  <c:v>R7.6</c:v>
                </c:pt>
                <c:pt idx="42">
                  <c:v>R7.7</c:v>
                </c:pt>
                <c:pt idx="43">
                  <c:v>R7.8</c:v>
                </c:pt>
                <c:pt idx="44">
                  <c:v>R7.9</c:v>
                </c:pt>
                <c:pt idx="45">
                  <c:v>R7.10</c:v>
                </c:pt>
                <c:pt idx="46">
                  <c:v>R7.11</c:v>
                </c:pt>
              </c:strCache>
            </c:strRef>
          </c:cat>
          <c:val>
            <c:numRef>
              <c:f>集計!$E$42:$AY$42</c:f>
              <c:numCache>
                <c:formatCode>#,##0.0_ </c:formatCode>
                <c:ptCount val="47"/>
                <c:pt idx="0" formatCode="General">
                  <c:v>115.2</c:v>
                </c:pt>
                <c:pt idx="1">
                  <c:v>115.6</c:v>
                </c:pt>
                <c:pt idx="2">
                  <c:v>116.4</c:v>
                </c:pt>
                <c:pt idx="3">
                  <c:v>117.5</c:v>
                </c:pt>
                <c:pt idx="4">
                  <c:v>116.9</c:v>
                </c:pt>
                <c:pt idx="5">
                  <c:v>119.5</c:v>
                </c:pt>
                <c:pt idx="6">
                  <c:v>117.6</c:v>
                </c:pt>
                <c:pt idx="7">
                  <c:v>118.9</c:v>
                </c:pt>
                <c:pt idx="8">
                  <c:v>118.2</c:v>
                </c:pt>
                <c:pt idx="9">
                  <c:v>120.1</c:v>
                </c:pt>
                <c:pt idx="10">
                  <c:v>122</c:v>
                </c:pt>
                <c:pt idx="11">
                  <c:v>121.2</c:v>
                </c:pt>
                <c:pt idx="12">
                  <c:v>121.1</c:v>
                </c:pt>
                <c:pt idx="13">
                  <c:v>121.2</c:v>
                </c:pt>
                <c:pt idx="14">
                  <c:v>122.2</c:v>
                </c:pt>
                <c:pt idx="15">
                  <c:v>122.3</c:v>
                </c:pt>
                <c:pt idx="16">
                  <c:v>122.1</c:v>
                </c:pt>
                <c:pt idx="17">
                  <c:v>122.9</c:v>
                </c:pt>
                <c:pt idx="18">
                  <c:v>123.3</c:v>
                </c:pt>
                <c:pt idx="19">
                  <c:v>124</c:v>
                </c:pt>
                <c:pt idx="20">
                  <c:v>123.7</c:v>
                </c:pt>
                <c:pt idx="21">
                  <c:v>124.3</c:v>
                </c:pt>
                <c:pt idx="22">
                  <c:v>124.5</c:v>
                </c:pt>
                <c:pt idx="23">
                  <c:v>124.4</c:v>
                </c:pt>
                <c:pt idx="24">
                  <c:v>124.5</c:v>
                </c:pt>
                <c:pt idx="25">
                  <c:v>124.9</c:v>
                </c:pt>
                <c:pt idx="26">
                  <c:v>126.2</c:v>
                </c:pt>
                <c:pt idx="27">
                  <c:v>127.2</c:v>
                </c:pt>
                <c:pt idx="28">
                  <c:v>128.9</c:v>
                </c:pt>
                <c:pt idx="29">
                  <c:v>128.6</c:v>
                </c:pt>
                <c:pt idx="30">
                  <c:v>130.19999999999999</c:v>
                </c:pt>
                <c:pt idx="31">
                  <c:v>128.80000000000001</c:v>
                </c:pt>
                <c:pt idx="32">
                  <c:v>129</c:v>
                </c:pt>
                <c:pt idx="33">
                  <c:v>129</c:v>
                </c:pt>
                <c:pt idx="34">
                  <c:v>130.80000000000001</c:v>
                </c:pt>
                <c:pt idx="35">
                  <c:v>131.6</c:v>
                </c:pt>
                <c:pt idx="36">
                  <c:v>129.80000000000001</c:v>
                </c:pt>
                <c:pt idx="37">
                  <c:v>131.4</c:v>
                </c:pt>
                <c:pt idx="38">
                  <c:v>129.80000000000001</c:v>
                </c:pt>
                <c:pt idx="39">
                  <c:v>131.69999999999999</c:v>
                </c:pt>
                <c:pt idx="40" formatCode="General">
                  <c:v>133.6</c:v>
                </c:pt>
                <c:pt idx="41" formatCode="General">
                  <c:v>139</c:v>
                </c:pt>
                <c:pt idx="42" formatCode="General">
                  <c:v>133.6</c:v>
                </c:pt>
                <c:pt idx="43" formatCode="General">
                  <c:v>137.80000000000001</c:v>
                </c:pt>
                <c:pt idx="44" formatCode="General">
                  <c:v>132.4</c:v>
                </c:pt>
                <c:pt idx="45" formatCode="General">
                  <c:v>132.69999999999999</c:v>
                </c:pt>
                <c:pt idx="46" formatCode="0.0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BF-4884-8A8F-F51649D10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528895"/>
        <c:axId val="823514495"/>
      </c:lineChart>
      <c:catAx>
        <c:axId val="82352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3514495"/>
        <c:crosses val="autoZero"/>
        <c:auto val="1"/>
        <c:lblAlgn val="ctr"/>
        <c:lblOffset val="100"/>
        <c:noMultiLvlLbl val="0"/>
      </c:catAx>
      <c:valAx>
        <c:axId val="823514495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352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集計!$D$36</c:f>
              <c:strCache>
                <c:ptCount val="1"/>
                <c:pt idx="0">
                  <c:v>建築物着工統計算出指数(S造/多用途建築物)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tx2"/>
                </a:solidFill>
                <a:prstDash val="sysDash"/>
              </a:ln>
              <a:effectLst/>
            </c:spPr>
            <c:trendlineType val="movingAvg"/>
            <c:period val="3"/>
            <c:dispRSqr val="0"/>
            <c:dispEq val="0"/>
          </c:trendline>
          <c:trendline>
            <c:spPr>
              <a:ln w="22225" cap="rnd">
                <a:solidFill>
                  <a:schemeClr val="tx2">
                    <a:lumMod val="60000"/>
                    <a:lumOff val="40000"/>
                  </a:schemeClr>
                </a:solidFill>
                <a:prstDash val="sysDash"/>
              </a:ln>
              <a:effectLst/>
            </c:spPr>
            <c:trendlineType val="movingAvg"/>
            <c:period val="6"/>
            <c:dispRSqr val="0"/>
            <c:dispEq val="0"/>
          </c:trendline>
          <c:trendline>
            <c:spPr>
              <a:ln w="22225" cap="rnd">
                <a:solidFill>
                  <a:srgbClr val="0070C0"/>
                </a:solidFill>
                <a:prstDash val="sysDash"/>
              </a:ln>
              <a:effectLst/>
            </c:spPr>
            <c:trendlineType val="movingAvg"/>
            <c:period val="12"/>
            <c:dispRSqr val="0"/>
            <c:dispEq val="0"/>
          </c:trendline>
          <c:cat>
            <c:strRef>
              <c:f>集計!$E$34:$AY$34</c:f>
              <c:strCache>
                <c:ptCount val="47"/>
                <c:pt idx="0">
                  <c:v>R4.1</c:v>
                </c:pt>
                <c:pt idx="1">
                  <c:v>R4.2</c:v>
                </c:pt>
                <c:pt idx="2">
                  <c:v>R4.3</c:v>
                </c:pt>
                <c:pt idx="3">
                  <c:v>R4.4</c:v>
                </c:pt>
                <c:pt idx="4">
                  <c:v>R4.5</c:v>
                </c:pt>
                <c:pt idx="5">
                  <c:v>R4.6</c:v>
                </c:pt>
                <c:pt idx="6">
                  <c:v>R4.7</c:v>
                </c:pt>
                <c:pt idx="7">
                  <c:v>R4.8</c:v>
                </c:pt>
                <c:pt idx="8">
                  <c:v>R4.9</c:v>
                </c:pt>
                <c:pt idx="9">
                  <c:v>R4.10</c:v>
                </c:pt>
                <c:pt idx="10">
                  <c:v>R4.11</c:v>
                </c:pt>
                <c:pt idx="11">
                  <c:v>R4.12</c:v>
                </c:pt>
                <c:pt idx="12">
                  <c:v>R5.1</c:v>
                </c:pt>
                <c:pt idx="13">
                  <c:v>R5.2</c:v>
                </c:pt>
                <c:pt idx="14">
                  <c:v>R5.3</c:v>
                </c:pt>
                <c:pt idx="15">
                  <c:v>R5.4</c:v>
                </c:pt>
                <c:pt idx="16">
                  <c:v>R5.5</c:v>
                </c:pt>
                <c:pt idx="17">
                  <c:v>R5.6</c:v>
                </c:pt>
                <c:pt idx="18">
                  <c:v>R5.7</c:v>
                </c:pt>
                <c:pt idx="19">
                  <c:v>R5.8</c:v>
                </c:pt>
                <c:pt idx="20">
                  <c:v>R5.9</c:v>
                </c:pt>
                <c:pt idx="21">
                  <c:v>R5.10</c:v>
                </c:pt>
                <c:pt idx="22">
                  <c:v>R5.11</c:v>
                </c:pt>
                <c:pt idx="23">
                  <c:v>R5.12</c:v>
                </c:pt>
                <c:pt idx="24">
                  <c:v>R6.1</c:v>
                </c:pt>
                <c:pt idx="25">
                  <c:v>R6.2</c:v>
                </c:pt>
                <c:pt idx="26">
                  <c:v>R6.3</c:v>
                </c:pt>
                <c:pt idx="27">
                  <c:v>R6.4</c:v>
                </c:pt>
                <c:pt idx="28">
                  <c:v>R6.5</c:v>
                </c:pt>
                <c:pt idx="29">
                  <c:v>R6.6</c:v>
                </c:pt>
                <c:pt idx="30">
                  <c:v>R6.7</c:v>
                </c:pt>
                <c:pt idx="31">
                  <c:v>R6.8</c:v>
                </c:pt>
                <c:pt idx="32">
                  <c:v>R6.9</c:v>
                </c:pt>
                <c:pt idx="33">
                  <c:v>R6.10</c:v>
                </c:pt>
                <c:pt idx="34">
                  <c:v>R6.11</c:v>
                </c:pt>
                <c:pt idx="35">
                  <c:v>R6.12</c:v>
                </c:pt>
                <c:pt idx="36">
                  <c:v>R7.1</c:v>
                </c:pt>
                <c:pt idx="37">
                  <c:v>R7.2</c:v>
                </c:pt>
                <c:pt idx="38">
                  <c:v>R7.3</c:v>
                </c:pt>
                <c:pt idx="39">
                  <c:v>R7.4</c:v>
                </c:pt>
                <c:pt idx="40">
                  <c:v>R7.5</c:v>
                </c:pt>
                <c:pt idx="41">
                  <c:v>R7.6</c:v>
                </c:pt>
                <c:pt idx="42">
                  <c:v>R7.7</c:v>
                </c:pt>
                <c:pt idx="43">
                  <c:v>R7.8</c:v>
                </c:pt>
                <c:pt idx="44">
                  <c:v>R7.9</c:v>
                </c:pt>
                <c:pt idx="45">
                  <c:v>R7.10</c:v>
                </c:pt>
                <c:pt idx="46">
                  <c:v>R7.11</c:v>
                </c:pt>
              </c:strCache>
            </c:strRef>
          </c:cat>
          <c:val>
            <c:numRef>
              <c:f>集計!$E$36:$AY$36</c:f>
              <c:numCache>
                <c:formatCode>#,##0.0_ </c:formatCode>
                <c:ptCount val="47"/>
                <c:pt idx="0">
                  <c:v>212.87606748365465</c:v>
                </c:pt>
                <c:pt idx="1">
                  <c:v>106.17922382902496</c:v>
                </c:pt>
                <c:pt idx="2">
                  <c:v>170.58562328365497</c:v>
                </c:pt>
                <c:pt idx="3">
                  <c:v>109.98780462256417</c:v>
                </c:pt>
                <c:pt idx="4">
                  <c:v>132.71854899022495</c:v>
                </c:pt>
                <c:pt idx="5">
                  <c:v>179.27293202188579</c:v>
                </c:pt>
                <c:pt idx="6">
                  <c:v>276.92973458204852</c:v>
                </c:pt>
                <c:pt idx="7">
                  <c:v>172.50189489894976</c:v>
                </c:pt>
                <c:pt idx="8">
                  <c:v>117.55782133935293</c:v>
                </c:pt>
                <c:pt idx="9">
                  <c:v>143.46352745990839</c:v>
                </c:pt>
                <c:pt idx="10">
                  <c:v>212.3160342862142</c:v>
                </c:pt>
                <c:pt idx="11">
                  <c:v>170.98907081044871</c:v>
                </c:pt>
                <c:pt idx="12">
                  <c:v>144.33586324268501</c:v>
                </c:pt>
                <c:pt idx="13">
                  <c:v>355.03893872333447</c:v>
                </c:pt>
                <c:pt idx="14">
                  <c:v>106.03223349220873</c:v>
                </c:pt>
                <c:pt idx="15">
                  <c:v>205.29780256482826</c:v>
                </c:pt>
                <c:pt idx="16">
                  <c:v>146.77477291466488</c:v>
                </c:pt>
                <c:pt idx="17">
                  <c:v>238.01467634260916</c:v>
                </c:pt>
                <c:pt idx="18">
                  <c:v>248.0478426166647</c:v>
                </c:pt>
                <c:pt idx="19">
                  <c:v>232.87354523960636</c:v>
                </c:pt>
                <c:pt idx="20">
                  <c:v>226.45495660128967</c:v>
                </c:pt>
                <c:pt idx="21">
                  <c:v>215.9372659111647</c:v>
                </c:pt>
                <c:pt idx="22">
                  <c:v>199.24323378500003</c:v>
                </c:pt>
                <c:pt idx="23">
                  <c:v>302.51166815682495</c:v>
                </c:pt>
                <c:pt idx="24">
                  <c:v>217.02446087847295</c:v>
                </c:pt>
                <c:pt idx="25">
                  <c:v>241.54029674533501</c:v>
                </c:pt>
                <c:pt idx="26">
                  <c:v>261.66786643506532</c:v>
                </c:pt>
                <c:pt idx="27">
                  <c:v>334.72920161574024</c:v>
                </c:pt>
                <c:pt idx="28">
                  <c:v>133.05338955829384</c:v>
                </c:pt>
                <c:pt idx="29">
                  <c:v>205.15426574688041</c:v>
                </c:pt>
                <c:pt idx="30">
                  <c:v>206.47928593146077</c:v>
                </c:pt>
                <c:pt idx="31">
                  <c:v>463.50235465965295</c:v>
                </c:pt>
                <c:pt idx="32">
                  <c:v>226.31115303130568</c:v>
                </c:pt>
                <c:pt idx="33">
                  <c:v>242.72449965470332</c:v>
                </c:pt>
                <c:pt idx="34">
                  <c:v>108.90234803493051</c:v>
                </c:pt>
                <c:pt idx="35">
                  <c:v>158.38523262000155</c:v>
                </c:pt>
                <c:pt idx="36">
                  <c:v>189.69128247290593</c:v>
                </c:pt>
                <c:pt idx="37">
                  <c:v>370.66348982192585</c:v>
                </c:pt>
                <c:pt idx="38">
                  <c:v>370.99602783163772</c:v>
                </c:pt>
                <c:pt idx="39">
                  <c:v>431.53355903631069</c:v>
                </c:pt>
                <c:pt idx="40">
                  <c:v>255.23324313597732</c:v>
                </c:pt>
                <c:pt idx="41">
                  <c:v>239.13574080489525</c:v>
                </c:pt>
                <c:pt idx="42">
                  <c:v>207.88435223745344</c:v>
                </c:pt>
                <c:pt idx="43">
                  <c:v>326.63005334930136</c:v>
                </c:pt>
                <c:pt idx="44" formatCode="#,##0.0;[Red]\-#,##0.0">
                  <c:v>299.07610391805906</c:v>
                </c:pt>
                <c:pt idx="45" formatCode="#,##0.0;[Red]\-#,##0.0">
                  <c:v>222.17988818820129</c:v>
                </c:pt>
                <c:pt idx="46" formatCode="#,##0.0;[Red]\-#,##0.0">
                  <c:v>247.46166343541955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8A-4F64-BF0D-74370BBD269E}"/>
            </c:ext>
          </c:extLst>
        </c:ser>
        <c:ser>
          <c:idx val="1"/>
          <c:order val="1"/>
          <c:tx>
            <c:strRef>
              <c:f>集計!$D$39</c:f>
              <c:strCache>
                <c:ptCount val="1"/>
                <c:pt idx="0">
                  <c:v>建築費指数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集計!$E$34:$AY$34</c:f>
              <c:strCache>
                <c:ptCount val="47"/>
                <c:pt idx="0">
                  <c:v>R4.1</c:v>
                </c:pt>
                <c:pt idx="1">
                  <c:v>R4.2</c:v>
                </c:pt>
                <c:pt idx="2">
                  <c:v>R4.3</c:v>
                </c:pt>
                <c:pt idx="3">
                  <c:v>R4.4</c:v>
                </c:pt>
                <c:pt idx="4">
                  <c:v>R4.5</c:v>
                </c:pt>
                <c:pt idx="5">
                  <c:v>R4.6</c:v>
                </c:pt>
                <c:pt idx="6">
                  <c:v>R4.7</c:v>
                </c:pt>
                <c:pt idx="7">
                  <c:v>R4.8</c:v>
                </c:pt>
                <c:pt idx="8">
                  <c:v>R4.9</c:v>
                </c:pt>
                <c:pt idx="9">
                  <c:v>R4.10</c:v>
                </c:pt>
                <c:pt idx="10">
                  <c:v>R4.11</c:v>
                </c:pt>
                <c:pt idx="11">
                  <c:v>R4.12</c:v>
                </c:pt>
                <c:pt idx="12">
                  <c:v>R5.1</c:v>
                </c:pt>
                <c:pt idx="13">
                  <c:v>R5.2</c:v>
                </c:pt>
                <c:pt idx="14">
                  <c:v>R5.3</c:v>
                </c:pt>
                <c:pt idx="15">
                  <c:v>R5.4</c:v>
                </c:pt>
                <c:pt idx="16">
                  <c:v>R5.5</c:v>
                </c:pt>
                <c:pt idx="17">
                  <c:v>R5.6</c:v>
                </c:pt>
                <c:pt idx="18">
                  <c:v>R5.7</c:v>
                </c:pt>
                <c:pt idx="19">
                  <c:v>R5.8</c:v>
                </c:pt>
                <c:pt idx="20">
                  <c:v>R5.9</c:v>
                </c:pt>
                <c:pt idx="21">
                  <c:v>R5.10</c:v>
                </c:pt>
                <c:pt idx="22">
                  <c:v>R5.11</c:v>
                </c:pt>
                <c:pt idx="23">
                  <c:v>R5.12</c:v>
                </c:pt>
                <c:pt idx="24">
                  <c:v>R6.1</c:v>
                </c:pt>
                <c:pt idx="25">
                  <c:v>R6.2</c:v>
                </c:pt>
                <c:pt idx="26">
                  <c:v>R6.3</c:v>
                </c:pt>
                <c:pt idx="27">
                  <c:v>R6.4</c:v>
                </c:pt>
                <c:pt idx="28">
                  <c:v>R6.5</c:v>
                </c:pt>
                <c:pt idx="29">
                  <c:v>R6.6</c:v>
                </c:pt>
                <c:pt idx="30">
                  <c:v>R6.7</c:v>
                </c:pt>
                <c:pt idx="31">
                  <c:v>R6.8</c:v>
                </c:pt>
                <c:pt idx="32">
                  <c:v>R6.9</c:v>
                </c:pt>
                <c:pt idx="33">
                  <c:v>R6.10</c:v>
                </c:pt>
                <c:pt idx="34">
                  <c:v>R6.11</c:v>
                </c:pt>
                <c:pt idx="35">
                  <c:v>R6.12</c:v>
                </c:pt>
                <c:pt idx="36">
                  <c:v>R7.1</c:v>
                </c:pt>
                <c:pt idx="37">
                  <c:v>R7.2</c:v>
                </c:pt>
                <c:pt idx="38">
                  <c:v>R7.3</c:v>
                </c:pt>
                <c:pt idx="39">
                  <c:v>R7.4</c:v>
                </c:pt>
                <c:pt idx="40">
                  <c:v>R7.5</c:v>
                </c:pt>
                <c:pt idx="41">
                  <c:v>R7.6</c:v>
                </c:pt>
                <c:pt idx="42">
                  <c:v>R7.7</c:v>
                </c:pt>
                <c:pt idx="43">
                  <c:v>R7.8</c:v>
                </c:pt>
                <c:pt idx="44">
                  <c:v>R7.9</c:v>
                </c:pt>
                <c:pt idx="45">
                  <c:v>R7.10</c:v>
                </c:pt>
                <c:pt idx="46">
                  <c:v>R7.11</c:v>
                </c:pt>
              </c:strCache>
            </c:strRef>
          </c:cat>
          <c:val>
            <c:numRef>
              <c:f>集計!$E$39:$AY$39</c:f>
              <c:numCache>
                <c:formatCode>_ * #,##0.0_ ;_ * \-#,##0.0_ ;_ * "-"_ ;_ @_ </c:formatCode>
                <c:ptCount val="47"/>
                <c:pt idx="0" formatCode="General">
                  <c:v>113.6</c:v>
                </c:pt>
                <c:pt idx="1">
                  <c:v>113.7</c:v>
                </c:pt>
                <c:pt idx="2">
                  <c:v>114.4</c:v>
                </c:pt>
                <c:pt idx="3">
                  <c:v>115.5</c:v>
                </c:pt>
                <c:pt idx="4">
                  <c:v>116.2</c:v>
                </c:pt>
                <c:pt idx="5">
                  <c:v>118.3</c:v>
                </c:pt>
                <c:pt idx="6">
                  <c:v>118.4</c:v>
                </c:pt>
                <c:pt idx="7">
                  <c:v>120.3</c:v>
                </c:pt>
                <c:pt idx="8">
                  <c:v>122.2</c:v>
                </c:pt>
                <c:pt idx="9">
                  <c:v>122.8</c:v>
                </c:pt>
                <c:pt idx="10">
                  <c:v>123.1</c:v>
                </c:pt>
                <c:pt idx="11">
                  <c:v>124.1</c:v>
                </c:pt>
                <c:pt idx="12">
                  <c:v>124.3</c:v>
                </c:pt>
                <c:pt idx="13">
                  <c:v>124.2</c:v>
                </c:pt>
                <c:pt idx="14">
                  <c:v>124.4</c:v>
                </c:pt>
                <c:pt idx="15">
                  <c:v>124.4</c:v>
                </c:pt>
                <c:pt idx="16">
                  <c:v>124.5</c:v>
                </c:pt>
                <c:pt idx="17">
                  <c:v>126.7</c:v>
                </c:pt>
                <c:pt idx="18">
                  <c:v>126.6</c:v>
                </c:pt>
                <c:pt idx="19">
                  <c:v>127</c:v>
                </c:pt>
                <c:pt idx="20">
                  <c:v>128.80000000000001</c:v>
                </c:pt>
                <c:pt idx="21">
                  <c:v>128.69999999999999</c:v>
                </c:pt>
                <c:pt idx="22">
                  <c:v>129.4</c:v>
                </c:pt>
                <c:pt idx="23">
                  <c:v>130.69999999999999</c:v>
                </c:pt>
                <c:pt idx="24">
                  <c:v>130.9</c:v>
                </c:pt>
                <c:pt idx="25">
                  <c:v>131</c:v>
                </c:pt>
                <c:pt idx="26">
                  <c:v>132</c:v>
                </c:pt>
                <c:pt idx="27">
                  <c:v>132.1</c:v>
                </c:pt>
                <c:pt idx="28">
                  <c:v>132.6</c:v>
                </c:pt>
                <c:pt idx="29">
                  <c:v>133.4</c:v>
                </c:pt>
                <c:pt idx="30">
                  <c:v>134.69999999999999</c:v>
                </c:pt>
                <c:pt idx="31">
                  <c:v>134.80000000000001</c:v>
                </c:pt>
                <c:pt idx="32">
                  <c:v>135.69999999999999</c:v>
                </c:pt>
                <c:pt idx="33">
                  <c:v>135.30000000000001</c:v>
                </c:pt>
                <c:pt idx="34">
                  <c:v>135.19999999999999</c:v>
                </c:pt>
                <c:pt idx="35">
                  <c:v>136.9</c:v>
                </c:pt>
                <c:pt idx="36">
                  <c:v>137</c:v>
                </c:pt>
                <c:pt idx="37">
                  <c:v>137</c:v>
                </c:pt>
                <c:pt idx="38">
                  <c:v>137.6</c:v>
                </c:pt>
                <c:pt idx="39">
                  <c:v>137.4</c:v>
                </c:pt>
                <c:pt idx="40">
                  <c:v>138</c:v>
                </c:pt>
                <c:pt idx="41">
                  <c:v>138.80000000000001</c:v>
                </c:pt>
                <c:pt idx="42">
                  <c:v>138.69999999999999</c:v>
                </c:pt>
                <c:pt idx="43">
                  <c:v>138.9</c:v>
                </c:pt>
                <c:pt idx="44">
                  <c:v>139.5</c:v>
                </c:pt>
                <c:pt idx="45" formatCode="General">
                  <c:v>139.5</c:v>
                </c:pt>
                <c:pt idx="46" formatCode="General">
                  <c:v>139.69999999999999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8A-4F64-BF0D-74370BBD269E}"/>
            </c:ext>
          </c:extLst>
        </c:ser>
        <c:ser>
          <c:idx val="2"/>
          <c:order val="2"/>
          <c:tx>
            <c:strRef>
              <c:f>集計!$D$42</c:f>
              <c:strCache>
                <c:ptCount val="1"/>
                <c:pt idx="0">
                  <c:v>デフレーター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集計!$E$34:$AY$34</c:f>
              <c:strCache>
                <c:ptCount val="47"/>
                <c:pt idx="0">
                  <c:v>R4.1</c:v>
                </c:pt>
                <c:pt idx="1">
                  <c:v>R4.2</c:v>
                </c:pt>
                <c:pt idx="2">
                  <c:v>R4.3</c:v>
                </c:pt>
                <c:pt idx="3">
                  <c:v>R4.4</c:v>
                </c:pt>
                <c:pt idx="4">
                  <c:v>R4.5</c:v>
                </c:pt>
                <c:pt idx="5">
                  <c:v>R4.6</c:v>
                </c:pt>
                <c:pt idx="6">
                  <c:v>R4.7</c:v>
                </c:pt>
                <c:pt idx="7">
                  <c:v>R4.8</c:v>
                </c:pt>
                <c:pt idx="8">
                  <c:v>R4.9</c:v>
                </c:pt>
                <c:pt idx="9">
                  <c:v>R4.10</c:v>
                </c:pt>
                <c:pt idx="10">
                  <c:v>R4.11</c:v>
                </c:pt>
                <c:pt idx="11">
                  <c:v>R4.12</c:v>
                </c:pt>
                <c:pt idx="12">
                  <c:v>R5.1</c:v>
                </c:pt>
                <c:pt idx="13">
                  <c:v>R5.2</c:v>
                </c:pt>
                <c:pt idx="14">
                  <c:v>R5.3</c:v>
                </c:pt>
                <c:pt idx="15">
                  <c:v>R5.4</c:v>
                </c:pt>
                <c:pt idx="16">
                  <c:v>R5.5</c:v>
                </c:pt>
                <c:pt idx="17">
                  <c:v>R5.6</c:v>
                </c:pt>
                <c:pt idx="18">
                  <c:v>R5.7</c:v>
                </c:pt>
                <c:pt idx="19">
                  <c:v>R5.8</c:v>
                </c:pt>
                <c:pt idx="20">
                  <c:v>R5.9</c:v>
                </c:pt>
                <c:pt idx="21">
                  <c:v>R5.10</c:v>
                </c:pt>
                <c:pt idx="22">
                  <c:v>R5.11</c:v>
                </c:pt>
                <c:pt idx="23">
                  <c:v>R5.12</c:v>
                </c:pt>
                <c:pt idx="24">
                  <c:v>R6.1</c:v>
                </c:pt>
                <c:pt idx="25">
                  <c:v>R6.2</c:v>
                </c:pt>
                <c:pt idx="26">
                  <c:v>R6.3</c:v>
                </c:pt>
                <c:pt idx="27">
                  <c:v>R6.4</c:v>
                </c:pt>
                <c:pt idx="28">
                  <c:v>R6.5</c:v>
                </c:pt>
                <c:pt idx="29">
                  <c:v>R6.6</c:v>
                </c:pt>
                <c:pt idx="30">
                  <c:v>R6.7</c:v>
                </c:pt>
                <c:pt idx="31">
                  <c:v>R6.8</c:v>
                </c:pt>
                <c:pt idx="32">
                  <c:v>R6.9</c:v>
                </c:pt>
                <c:pt idx="33">
                  <c:v>R6.10</c:v>
                </c:pt>
                <c:pt idx="34">
                  <c:v>R6.11</c:v>
                </c:pt>
                <c:pt idx="35">
                  <c:v>R6.12</c:v>
                </c:pt>
                <c:pt idx="36">
                  <c:v>R7.1</c:v>
                </c:pt>
                <c:pt idx="37">
                  <c:v>R7.2</c:v>
                </c:pt>
                <c:pt idx="38">
                  <c:v>R7.3</c:v>
                </c:pt>
                <c:pt idx="39">
                  <c:v>R7.4</c:v>
                </c:pt>
                <c:pt idx="40">
                  <c:v>R7.5</c:v>
                </c:pt>
                <c:pt idx="41">
                  <c:v>R7.6</c:v>
                </c:pt>
                <c:pt idx="42">
                  <c:v>R7.7</c:v>
                </c:pt>
                <c:pt idx="43">
                  <c:v>R7.8</c:v>
                </c:pt>
                <c:pt idx="44">
                  <c:v>R7.9</c:v>
                </c:pt>
                <c:pt idx="45">
                  <c:v>R7.10</c:v>
                </c:pt>
                <c:pt idx="46">
                  <c:v>R7.11</c:v>
                </c:pt>
              </c:strCache>
            </c:strRef>
          </c:cat>
          <c:val>
            <c:numRef>
              <c:f>集計!$E$42:$AY$42</c:f>
              <c:numCache>
                <c:formatCode>#,##0.0_ </c:formatCode>
                <c:ptCount val="47"/>
                <c:pt idx="0" formatCode="General">
                  <c:v>115.2</c:v>
                </c:pt>
                <c:pt idx="1">
                  <c:v>115.6</c:v>
                </c:pt>
                <c:pt idx="2">
                  <c:v>116.4</c:v>
                </c:pt>
                <c:pt idx="3">
                  <c:v>117.5</c:v>
                </c:pt>
                <c:pt idx="4">
                  <c:v>116.9</c:v>
                </c:pt>
                <c:pt idx="5">
                  <c:v>119.5</c:v>
                </c:pt>
                <c:pt idx="6">
                  <c:v>117.6</c:v>
                </c:pt>
                <c:pt idx="7">
                  <c:v>118.9</c:v>
                </c:pt>
                <c:pt idx="8">
                  <c:v>118.2</c:v>
                </c:pt>
                <c:pt idx="9">
                  <c:v>120.1</c:v>
                </c:pt>
                <c:pt idx="10">
                  <c:v>122</c:v>
                </c:pt>
                <c:pt idx="11">
                  <c:v>121.2</c:v>
                </c:pt>
                <c:pt idx="12">
                  <c:v>121.1</c:v>
                </c:pt>
                <c:pt idx="13">
                  <c:v>121.2</c:v>
                </c:pt>
                <c:pt idx="14">
                  <c:v>122.2</c:v>
                </c:pt>
                <c:pt idx="15">
                  <c:v>122.3</c:v>
                </c:pt>
                <c:pt idx="16">
                  <c:v>122.1</c:v>
                </c:pt>
                <c:pt idx="17">
                  <c:v>122.9</c:v>
                </c:pt>
                <c:pt idx="18">
                  <c:v>123.3</c:v>
                </c:pt>
                <c:pt idx="19">
                  <c:v>124</c:v>
                </c:pt>
                <c:pt idx="20">
                  <c:v>123.7</c:v>
                </c:pt>
                <c:pt idx="21">
                  <c:v>124.3</c:v>
                </c:pt>
                <c:pt idx="22">
                  <c:v>124.5</c:v>
                </c:pt>
                <c:pt idx="23">
                  <c:v>124.4</c:v>
                </c:pt>
                <c:pt idx="24">
                  <c:v>124.5</c:v>
                </c:pt>
                <c:pt idx="25">
                  <c:v>124.9</c:v>
                </c:pt>
                <c:pt idx="26">
                  <c:v>126.2</c:v>
                </c:pt>
                <c:pt idx="27">
                  <c:v>127.2</c:v>
                </c:pt>
                <c:pt idx="28">
                  <c:v>128.9</c:v>
                </c:pt>
                <c:pt idx="29">
                  <c:v>128.6</c:v>
                </c:pt>
                <c:pt idx="30">
                  <c:v>130.19999999999999</c:v>
                </c:pt>
                <c:pt idx="31">
                  <c:v>128.80000000000001</c:v>
                </c:pt>
                <c:pt idx="32">
                  <c:v>129</c:v>
                </c:pt>
                <c:pt idx="33">
                  <c:v>129</c:v>
                </c:pt>
                <c:pt idx="34">
                  <c:v>130.80000000000001</c:v>
                </c:pt>
                <c:pt idx="35">
                  <c:v>131.6</c:v>
                </c:pt>
                <c:pt idx="36">
                  <c:v>129.80000000000001</c:v>
                </c:pt>
                <c:pt idx="37">
                  <c:v>131.4</c:v>
                </c:pt>
                <c:pt idx="38">
                  <c:v>129.80000000000001</c:v>
                </c:pt>
                <c:pt idx="39">
                  <c:v>131.69999999999999</c:v>
                </c:pt>
                <c:pt idx="40" formatCode="General">
                  <c:v>133.6</c:v>
                </c:pt>
                <c:pt idx="41" formatCode="General">
                  <c:v>139</c:v>
                </c:pt>
                <c:pt idx="42" formatCode="General">
                  <c:v>133.6</c:v>
                </c:pt>
                <c:pt idx="43" formatCode="General">
                  <c:v>137.80000000000001</c:v>
                </c:pt>
                <c:pt idx="44" formatCode="General">
                  <c:v>132.4</c:v>
                </c:pt>
                <c:pt idx="45" formatCode="General">
                  <c:v>132.69999999999999</c:v>
                </c:pt>
                <c:pt idx="46" formatCode="0.0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8A-4F64-BF0D-74370BBD2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528895"/>
        <c:axId val="823514495"/>
      </c:lineChart>
      <c:catAx>
        <c:axId val="82352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3514495"/>
        <c:crosses val="autoZero"/>
        <c:auto val="1"/>
        <c:lblAlgn val="ctr"/>
        <c:lblOffset val="100"/>
        <c:noMultiLvlLbl val="0"/>
      </c:catAx>
      <c:valAx>
        <c:axId val="823514495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352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172</xdr:col>
      <xdr:colOff>269875</xdr:colOff>
      <xdr:row>26</xdr:row>
      <xdr:rowOff>111125</xdr:rowOff>
    </xdr:from>
    <xdr:to>
      <xdr:col>179</xdr:col>
      <xdr:colOff>257175</xdr:colOff>
      <xdr:row>35</xdr:row>
      <xdr:rowOff>136878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F265C8B6-4BEF-E59B-AAD8-ED59BD8BD975}"/>
            </a:ext>
          </a:extLst>
        </xdr:cNvPr>
        <xdr:cNvSpPr/>
      </xdr:nvSpPr>
      <xdr:spPr>
        <a:xfrm>
          <a:off x="152717500" y="6699250"/>
          <a:ext cx="6210300" cy="2026003"/>
        </a:xfrm>
        <a:prstGeom prst="wedgeRoundRectCallout">
          <a:avLst>
            <a:gd name="adj1" fmla="val -37516"/>
            <a:gd name="adj2" fmla="val 62500"/>
            <a:gd name="adj3" fmla="val 16667"/>
          </a:avLst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/>
            <a:t>e-stat</a:t>
          </a:r>
          <a:r>
            <a:rPr kumimoji="1" lang="ja-JP" altLang="en-US"/>
            <a:t>＞ファイル＞建築物着工統計＞建築物着工統計＞月次＞</a:t>
          </a:r>
          <a:r>
            <a:rPr kumimoji="1" lang="en-US" altLang="ja-JP"/>
            <a:t>30-1</a:t>
          </a:r>
          <a:r>
            <a:rPr kumimoji="1" lang="ja-JP" altLang="en-US"/>
            <a:t>多用途建築物、構造別＞鉄骨造（</a:t>
          </a:r>
          <a:r>
            <a:rPr kumimoji="1" lang="en-US" altLang="ja-JP"/>
            <a:t>S</a:t>
          </a:r>
          <a:r>
            <a:rPr kumimoji="1" lang="ja-JP" altLang="en-US"/>
            <a:t>列）事務所（</a:t>
          </a:r>
          <a:r>
            <a:rPr kumimoji="1" lang="en-US" altLang="ja-JP"/>
            <a:t>49</a:t>
          </a:r>
          <a:r>
            <a:rPr kumimoji="1" lang="ja-JP" altLang="en-US"/>
            <a:t>行目）＞工事費与額と床面積の合計⇒工事単価算出⇒１２区間平均でならす⇒３年間で表示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190500</xdr:colOff>
      <xdr:row>49</xdr:row>
      <xdr:rowOff>0</xdr:rowOff>
    </xdr:from>
    <xdr:to>
      <xdr:col>51</xdr:col>
      <xdr:colOff>464911</xdr:colOff>
      <xdr:row>86</xdr:row>
      <xdr:rowOff>107042</xdr:rowOff>
    </xdr:to>
    <xdr:graphicFrame macro="">
      <xdr:nvGraphicFramePr>
        <xdr:cNvPr id="3" name="グラフ 1">
          <a:extLst>
            <a:ext uri="{FF2B5EF4-FFF2-40B4-BE49-F238E27FC236}">
              <a16:creationId xmlns:a16="http://schemas.microsoft.com/office/drawing/2014/main" id="{9E9EB99B-F081-4570-8E9E-CDA0964B8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16</xdr:row>
      <xdr:rowOff>111126</xdr:rowOff>
    </xdr:from>
    <xdr:to>
      <xdr:col>21</xdr:col>
      <xdr:colOff>112486</xdr:colOff>
      <xdr:row>46</xdr:row>
      <xdr:rowOff>122918</xdr:rowOff>
    </xdr:to>
    <xdr:graphicFrame macro="">
      <xdr:nvGraphicFramePr>
        <xdr:cNvPr id="3" name="グラフ 3">
          <a:extLst>
            <a:ext uri="{FF2B5EF4-FFF2-40B4-BE49-F238E27FC236}">
              <a16:creationId xmlns:a16="http://schemas.microsoft.com/office/drawing/2014/main" id="{D5CF1B1E-35F5-4727-B47C-23A97030E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-stat.go.jp/stat-search/files?page=1&amp;toukei=00600120&amp;tstat=00000101696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212F-B5EC-4ACA-9AA0-6035DD05CBF1}">
  <dimension ref="A1:BJ12"/>
  <sheetViews>
    <sheetView workbookViewId="0"/>
  </sheetViews>
  <sheetFormatPr defaultColWidth="8.69921875" defaultRowHeight="18"/>
  <cols>
    <col min="1" max="1" width="2.796875" style="2" customWidth="1"/>
    <col min="2" max="2" width="14.296875" style="2" bestFit="1" customWidth="1"/>
    <col min="3" max="88" width="11.59765625" style="2" customWidth="1"/>
    <col min="89" max="16384" width="8.69921875" style="2"/>
  </cols>
  <sheetData>
    <row r="1" spans="1:62" ht="19.8">
      <c r="A1" s="1" t="s">
        <v>9</v>
      </c>
    </row>
    <row r="2" spans="1:62" ht="20.399999999999999" thickBot="1">
      <c r="A2" s="1"/>
    </row>
    <row r="3" spans="1:62">
      <c r="C3" s="4" t="s">
        <v>45</v>
      </c>
      <c r="D3" s="5"/>
      <c r="E3" s="5"/>
      <c r="F3" s="6"/>
      <c r="G3" s="4" t="s">
        <v>27</v>
      </c>
      <c r="H3" s="5"/>
      <c r="I3" s="5"/>
      <c r="J3" s="6"/>
      <c r="K3" s="4" t="s">
        <v>26</v>
      </c>
      <c r="L3" s="5"/>
      <c r="M3" s="5"/>
      <c r="N3" s="6"/>
      <c r="O3" s="4" t="s">
        <v>25</v>
      </c>
      <c r="P3" s="5"/>
      <c r="Q3" s="5"/>
      <c r="R3" s="6"/>
      <c r="S3" s="4" t="s">
        <v>24</v>
      </c>
      <c r="T3" s="5"/>
      <c r="U3" s="5"/>
      <c r="V3" s="6"/>
      <c r="W3" s="4" t="s">
        <v>23</v>
      </c>
      <c r="X3" s="5"/>
      <c r="Y3" s="5"/>
      <c r="Z3" s="6"/>
      <c r="AA3" s="4" t="s">
        <v>22</v>
      </c>
      <c r="AB3" s="5"/>
      <c r="AC3" s="5"/>
      <c r="AD3" s="6"/>
      <c r="AE3" s="4" t="s">
        <v>21</v>
      </c>
      <c r="AF3" s="5"/>
      <c r="AG3" s="5"/>
      <c r="AH3" s="6"/>
      <c r="AI3" s="4" t="s">
        <v>20</v>
      </c>
      <c r="AJ3" s="5"/>
      <c r="AK3" s="5"/>
      <c r="AL3" s="6"/>
      <c r="AM3" s="4" t="s">
        <v>19</v>
      </c>
      <c r="AN3" s="5"/>
      <c r="AO3" s="5"/>
      <c r="AP3" s="6"/>
      <c r="AQ3" s="4" t="s">
        <v>18</v>
      </c>
      <c r="AR3" s="5"/>
      <c r="AS3" s="5"/>
      <c r="AT3" s="6"/>
      <c r="AU3" s="4" t="s">
        <v>17</v>
      </c>
      <c r="AV3" s="5"/>
      <c r="AW3" s="5"/>
      <c r="AX3" s="6"/>
      <c r="AY3" s="4" t="s">
        <v>16</v>
      </c>
      <c r="AZ3" s="5"/>
      <c r="BA3" s="5"/>
      <c r="BB3" s="6"/>
      <c r="BC3" s="4" t="s">
        <v>15</v>
      </c>
      <c r="BD3" s="5"/>
      <c r="BE3" s="5"/>
      <c r="BF3" s="6"/>
      <c r="BG3" s="4" t="s">
        <v>12</v>
      </c>
      <c r="BH3" s="5"/>
      <c r="BI3" s="5"/>
      <c r="BJ3" s="6"/>
    </row>
    <row r="4" spans="1:62" ht="45" customHeight="1">
      <c r="C4" s="7" t="s">
        <v>7</v>
      </c>
      <c r="D4" s="8" t="s">
        <v>8</v>
      </c>
      <c r="E4" s="9" t="s">
        <v>10</v>
      </c>
      <c r="F4" s="10" t="s">
        <v>11</v>
      </c>
      <c r="G4" s="7" t="s">
        <v>7</v>
      </c>
      <c r="H4" s="8" t="s">
        <v>8</v>
      </c>
      <c r="I4" s="9" t="s">
        <v>10</v>
      </c>
      <c r="J4" s="10" t="s">
        <v>11</v>
      </c>
      <c r="K4" s="7" t="s">
        <v>7</v>
      </c>
      <c r="L4" s="8" t="s">
        <v>8</v>
      </c>
      <c r="M4" s="9" t="s">
        <v>10</v>
      </c>
      <c r="N4" s="10" t="s">
        <v>11</v>
      </c>
      <c r="O4" s="7" t="s">
        <v>7</v>
      </c>
      <c r="P4" s="8" t="s">
        <v>8</v>
      </c>
      <c r="Q4" s="9" t="s">
        <v>10</v>
      </c>
      <c r="R4" s="10" t="s">
        <v>11</v>
      </c>
      <c r="S4" s="7" t="s">
        <v>7</v>
      </c>
      <c r="T4" s="8" t="s">
        <v>8</v>
      </c>
      <c r="U4" s="9" t="s">
        <v>10</v>
      </c>
      <c r="V4" s="10" t="s">
        <v>11</v>
      </c>
      <c r="W4" s="7" t="s">
        <v>7</v>
      </c>
      <c r="X4" s="8" t="s">
        <v>8</v>
      </c>
      <c r="Y4" s="9" t="s">
        <v>10</v>
      </c>
      <c r="Z4" s="10" t="s">
        <v>11</v>
      </c>
      <c r="AA4" s="7" t="s">
        <v>7</v>
      </c>
      <c r="AB4" s="8" t="s">
        <v>8</v>
      </c>
      <c r="AC4" s="9" t="s">
        <v>10</v>
      </c>
      <c r="AD4" s="10" t="s">
        <v>11</v>
      </c>
      <c r="AE4" s="7" t="s">
        <v>7</v>
      </c>
      <c r="AF4" s="8" t="s">
        <v>8</v>
      </c>
      <c r="AG4" s="9" t="s">
        <v>10</v>
      </c>
      <c r="AH4" s="10" t="s">
        <v>11</v>
      </c>
      <c r="AI4" s="7" t="s">
        <v>7</v>
      </c>
      <c r="AJ4" s="8" t="s">
        <v>8</v>
      </c>
      <c r="AK4" s="9" t="s">
        <v>10</v>
      </c>
      <c r="AL4" s="10" t="s">
        <v>11</v>
      </c>
      <c r="AM4" s="7" t="s">
        <v>7</v>
      </c>
      <c r="AN4" s="8" t="s">
        <v>8</v>
      </c>
      <c r="AO4" s="9" t="s">
        <v>10</v>
      </c>
      <c r="AP4" s="10" t="s">
        <v>11</v>
      </c>
      <c r="AQ4" s="7" t="s">
        <v>7</v>
      </c>
      <c r="AR4" s="8" t="s">
        <v>8</v>
      </c>
      <c r="AS4" s="9" t="s">
        <v>10</v>
      </c>
      <c r="AT4" s="10" t="s">
        <v>11</v>
      </c>
      <c r="AU4" s="7" t="s">
        <v>7</v>
      </c>
      <c r="AV4" s="8" t="s">
        <v>8</v>
      </c>
      <c r="AW4" s="9" t="s">
        <v>10</v>
      </c>
      <c r="AX4" s="10" t="s">
        <v>11</v>
      </c>
      <c r="AY4" s="7" t="s">
        <v>7</v>
      </c>
      <c r="AZ4" s="8" t="s">
        <v>8</v>
      </c>
      <c r="BA4" s="9" t="s">
        <v>10</v>
      </c>
      <c r="BB4" s="10" t="s">
        <v>11</v>
      </c>
      <c r="BC4" s="7" t="s">
        <v>7</v>
      </c>
      <c r="BD4" s="8" t="s">
        <v>8</v>
      </c>
      <c r="BE4" s="9" t="s">
        <v>10</v>
      </c>
      <c r="BF4" s="10" t="s">
        <v>11</v>
      </c>
      <c r="BG4" s="7" t="s">
        <v>7</v>
      </c>
      <c r="BH4" s="8" t="s">
        <v>8</v>
      </c>
      <c r="BI4" s="9" t="s">
        <v>10</v>
      </c>
      <c r="BJ4" s="10" t="s">
        <v>11</v>
      </c>
    </row>
    <row r="5" spans="1:62">
      <c r="B5" s="2" t="s">
        <v>0</v>
      </c>
      <c r="C5" s="11">
        <v>376276</v>
      </c>
      <c r="D5" s="12">
        <v>14713671</v>
      </c>
      <c r="E5" s="13">
        <f>D5/C5</f>
        <v>39.103400163709615</v>
      </c>
      <c r="F5" s="14">
        <f>E5*3.30578512</f>
        <v>129.26743840259681</v>
      </c>
      <c r="G5" s="11">
        <v>14473</v>
      </c>
      <c r="H5" s="12">
        <v>703002</v>
      </c>
      <c r="I5" s="13">
        <f>H5/G5</f>
        <v>48.573343467145719</v>
      </c>
      <c r="J5" s="14">
        <f>I5*3.30578512</f>
        <v>160.57303606233953</v>
      </c>
      <c r="K5" s="11">
        <v>12930</v>
      </c>
      <c r="L5" s="12">
        <v>468976</v>
      </c>
      <c r="M5" s="13">
        <f>L5/K5</f>
        <v>36.270378963650423</v>
      </c>
      <c r="N5" s="14">
        <f>M5*3.30578512</f>
        <v>119.90207907479659</v>
      </c>
      <c r="O5" s="11">
        <v>2176</v>
      </c>
      <c r="P5" s="12">
        <v>33947</v>
      </c>
      <c r="Q5" s="13">
        <f>P5/O5</f>
        <v>15.600643382352942</v>
      </c>
      <c r="R5" s="14">
        <f>Q5*3.30578512</f>
        <v>51.572374755808823</v>
      </c>
      <c r="S5" s="11">
        <v>6950</v>
      </c>
      <c r="T5" s="12">
        <v>278981</v>
      </c>
      <c r="U5" s="13">
        <f>T5/S5</f>
        <v>40.141151079136691</v>
      </c>
      <c r="V5" s="14">
        <f>U5*3.30578512</f>
        <v>132.69801993708202</v>
      </c>
      <c r="W5" s="11">
        <v>15791</v>
      </c>
      <c r="X5" s="12">
        <v>679000</v>
      </c>
      <c r="Y5" s="13">
        <f>X5/W5</f>
        <v>42.999176746247862</v>
      </c>
      <c r="Z5" s="14">
        <f>Y5*3.30578512</f>
        <v>142.14603865999621</v>
      </c>
      <c r="AA5" s="11">
        <v>13436</v>
      </c>
      <c r="AB5" s="12">
        <v>844000</v>
      </c>
      <c r="AC5" s="13">
        <f>AB5/AA5</f>
        <v>62.816314379279547</v>
      </c>
      <c r="AD5" s="14">
        <f>AC5*3.30578512</f>
        <v>207.65723736826436</v>
      </c>
      <c r="AE5" s="11">
        <v>29255</v>
      </c>
      <c r="AF5" s="12">
        <v>1503500</v>
      </c>
      <c r="AG5" s="13">
        <f>AF5/AE5</f>
        <v>51.392924286446764</v>
      </c>
      <c r="AH5" s="14">
        <f>AG5*3.30578512</f>
        <v>169.89396437942233</v>
      </c>
      <c r="AI5" s="11">
        <v>6133</v>
      </c>
      <c r="AJ5" s="12">
        <v>385200</v>
      </c>
      <c r="AK5" s="13">
        <f>AJ5/AI5</f>
        <v>62.807761291374533</v>
      </c>
      <c r="AL5" s="14">
        <f>AK5*3.30578512</f>
        <v>207.6289626975379</v>
      </c>
      <c r="AM5" s="11">
        <v>0</v>
      </c>
      <c r="AN5" s="12">
        <v>0</v>
      </c>
      <c r="AO5" s="13" t="e">
        <f>AN5/AM5</f>
        <v>#DIV/0!</v>
      </c>
      <c r="AP5" s="14" t="e">
        <f>AO5*3.30578512</f>
        <v>#DIV/0!</v>
      </c>
      <c r="AQ5" s="11">
        <v>73716</v>
      </c>
      <c r="AR5" s="12">
        <v>4000000</v>
      </c>
      <c r="AS5" s="13">
        <f>AR5/AQ5</f>
        <v>54.262303977426882</v>
      </c>
      <c r="AT5" s="14">
        <f>AS5*3.30578512</f>
        <v>179.37951706549461</v>
      </c>
      <c r="AU5" s="11">
        <v>3487</v>
      </c>
      <c r="AV5" s="12">
        <v>213200</v>
      </c>
      <c r="AW5" s="13">
        <f>AV5/AU5</f>
        <v>61.141382277028967</v>
      </c>
      <c r="AX5" s="14">
        <f>AW5*3.30578512</f>
        <v>202.12027174763406</v>
      </c>
      <c r="AY5" s="11">
        <v>43887</v>
      </c>
      <c r="AZ5" s="12">
        <v>2383000</v>
      </c>
      <c r="BA5" s="13">
        <f>AZ5/AY5</f>
        <v>54.298539430810948</v>
      </c>
      <c r="BB5" s="14">
        <f>BA5*3.30578512</f>
        <v>179.49930368810809</v>
      </c>
      <c r="BC5" s="11">
        <v>3548</v>
      </c>
      <c r="BD5" s="12">
        <v>325057.03863999998</v>
      </c>
      <c r="BE5" s="13">
        <f>BD5/BC5</f>
        <v>91.616978196166855</v>
      </c>
      <c r="BF5" s="14">
        <f>BE5*3.30578512</f>
        <v>302.86604326025281</v>
      </c>
      <c r="BG5" s="11">
        <v>1988</v>
      </c>
      <c r="BH5" s="12">
        <v>96136</v>
      </c>
      <c r="BI5" s="13">
        <f>BH5/BG5</f>
        <v>48.358148893360159</v>
      </c>
      <c r="BJ5" s="14">
        <f>BI5*3.30578512</f>
        <v>159.86164904241448</v>
      </c>
    </row>
    <row r="6" spans="1:62">
      <c r="B6" s="2" t="s">
        <v>1</v>
      </c>
      <c r="C6" s="11">
        <v>47766</v>
      </c>
      <c r="D6" s="12">
        <v>1192080</v>
      </c>
      <c r="E6" s="13">
        <f t="shared" ref="E6:E11" si="0">D6/C6</f>
        <v>24.956663735711594</v>
      </c>
      <c r="F6" s="14">
        <f t="shared" ref="F6:F11" si="1">E6*3.30578512</f>
        <v>82.501367622358998</v>
      </c>
      <c r="G6" s="11">
        <v>505</v>
      </c>
      <c r="H6" s="12">
        <v>30000</v>
      </c>
      <c r="I6" s="13">
        <f t="shared" ref="I6:I11" si="2">H6/G6</f>
        <v>59.405940594059409</v>
      </c>
      <c r="J6" s="14">
        <f t="shared" ref="J6:J11" si="3">I6*3.30578512</f>
        <v>196.38327445544556</v>
      </c>
      <c r="K6" s="11">
        <v>178</v>
      </c>
      <c r="L6" s="12">
        <v>2250</v>
      </c>
      <c r="M6" s="13">
        <f t="shared" ref="M6:M11" si="4">L6/K6</f>
        <v>12.640449438202246</v>
      </c>
      <c r="N6" s="14">
        <f t="shared" ref="N6:N11" si="5">M6*3.30578512</f>
        <v>41.786609662921343</v>
      </c>
      <c r="O6" s="11">
        <v>7218</v>
      </c>
      <c r="P6" s="12">
        <v>122430</v>
      </c>
      <c r="Q6" s="13">
        <f t="shared" ref="Q6:Q11" si="6">P6/O6</f>
        <v>16.96176226101413</v>
      </c>
      <c r="R6" s="14">
        <f t="shared" ref="R6:R11" si="7">Q6*3.30578512</f>
        <v>56.071941291438065</v>
      </c>
      <c r="S6" s="11">
        <v>1194</v>
      </c>
      <c r="T6" s="12">
        <v>10000</v>
      </c>
      <c r="U6" s="13">
        <f t="shared" ref="U6:U11" si="8">T6/S6</f>
        <v>8.3752093802345051</v>
      </c>
      <c r="V6" s="14">
        <f t="shared" ref="V6:V11" si="9">U6*3.30578512</f>
        <v>27.686642546063648</v>
      </c>
      <c r="W6" s="11">
        <v>5739</v>
      </c>
      <c r="X6" s="12">
        <v>177000</v>
      </c>
      <c r="Y6" s="13">
        <f t="shared" ref="Y6:Y11" si="10">X6/W6</f>
        <v>30.841610036591742</v>
      </c>
      <c r="Z6" s="14">
        <f t="shared" ref="Z6:Z11" si="11">Y6*3.30578512</f>
        <v>101.95573553580763</v>
      </c>
      <c r="AA6" s="11">
        <v>0</v>
      </c>
      <c r="AB6" s="12">
        <v>0</v>
      </c>
      <c r="AC6" s="13" t="e">
        <f t="shared" ref="AC6:AC11" si="12">AB6/AA6</f>
        <v>#DIV/0!</v>
      </c>
      <c r="AD6" s="14" t="e">
        <f t="shared" ref="AD6:AD11" si="13">AC6*3.30578512</f>
        <v>#DIV/0!</v>
      </c>
      <c r="AE6" s="11">
        <v>309</v>
      </c>
      <c r="AF6" s="12">
        <v>30000</v>
      </c>
      <c r="AG6" s="13">
        <f t="shared" ref="AG6:AG11" si="14">AF6/AE6</f>
        <v>97.087378640776706</v>
      </c>
      <c r="AH6" s="14">
        <f t="shared" ref="AH6:AH11" si="15">AG6*3.30578512</f>
        <v>320.95001165048546</v>
      </c>
      <c r="AI6" s="11">
        <v>0</v>
      </c>
      <c r="AJ6" s="12">
        <v>0</v>
      </c>
      <c r="AK6" s="13" t="e">
        <f t="shared" ref="AK6:AK11" si="16">AJ6/AI6</f>
        <v>#DIV/0!</v>
      </c>
      <c r="AL6" s="14" t="e">
        <f t="shared" ref="AL6:AL11" si="17">AK6*3.30578512</f>
        <v>#DIV/0!</v>
      </c>
      <c r="AM6" s="11">
        <v>0</v>
      </c>
      <c r="AN6" s="12">
        <v>0</v>
      </c>
      <c r="AO6" s="13" t="e">
        <f t="shared" ref="AO6:AO11" si="18">AN6/AM6</f>
        <v>#DIV/0!</v>
      </c>
      <c r="AP6" s="14" t="e">
        <f t="shared" ref="AP6:AP11" si="19">AO6*3.30578512</f>
        <v>#DIV/0!</v>
      </c>
      <c r="AQ6" s="11">
        <v>285</v>
      </c>
      <c r="AR6" s="12">
        <v>100</v>
      </c>
      <c r="AS6" s="13">
        <f t="shared" ref="AS6:AS11" si="20">AR6/AQ6</f>
        <v>0.35087719298245612</v>
      </c>
      <c r="AT6" s="14">
        <f t="shared" ref="AT6:AT11" si="21">AS6*3.30578512</f>
        <v>1.1599246035087718</v>
      </c>
      <c r="AU6" s="11">
        <v>243</v>
      </c>
      <c r="AV6" s="12">
        <v>16057</v>
      </c>
      <c r="AW6" s="13">
        <f t="shared" ref="AW6:AW11" si="22">AV6/AU6</f>
        <v>66.078189300411523</v>
      </c>
      <c r="AX6" s="14">
        <f t="shared" ref="AX6:AX11" si="23">AW6*3.30578512</f>
        <v>218.44029494584362</v>
      </c>
      <c r="AY6" s="11">
        <v>120</v>
      </c>
      <c r="AZ6" s="12">
        <v>1650</v>
      </c>
      <c r="BA6" s="13">
        <f t="shared" ref="BA6:BA11" si="24">AZ6/AY6</f>
        <v>13.75</v>
      </c>
      <c r="BB6" s="14">
        <f t="shared" ref="BB6:BB11" si="25">BA6*3.30578512</f>
        <v>45.454545400000001</v>
      </c>
      <c r="BC6" s="11">
        <v>0</v>
      </c>
      <c r="BD6" s="12">
        <v>0</v>
      </c>
      <c r="BE6" s="13" t="e">
        <f t="shared" ref="BE6:BE11" si="26">BD6/BC6</f>
        <v>#DIV/0!</v>
      </c>
      <c r="BF6" s="14" t="e">
        <f t="shared" ref="BF6:BF11" si="27">BE6*3.30578512</f>
        <v>#DIV/0!</v>
      </c>
      <c r="BG6" s="11">
        <v>173</v>
      </c>
      <c r="BH6" s="12">
        <v>5000</v>
      </c>
      <c r="BI6" s="13">
        <f t="shared" ref="BI6:BI11" si="28">BH6/BG6</f>
        <v>28.901734104046241</v>
      </c>
      <c r="BJ6" s="14">
        <f t="shared" ref="BJ6:BJ11" si="29">BI6*3.30578512</f>
        <v>95.542922543352589</v>
      </c>
    </row>
    <row r="7" spans="1:62">
      <c r="B7" s="2" t="s">
        <v>2</v>
      </c>
      <c r="C7" s="11">
        <v>99563</v>
      </c>
      <c r="D7" s="12">
        <v>2195253</v>
      </c>
      <c r="E7" s="13">
        <f t="shared" si="0"/>
        <v>22.048883621425631</v>
      </c>
      <c r="F7" s="14">
        <f t="shared" si="1"/>
        <v>72.888871388320567</v>
      </c>
      <c r="G7" s="11">
        <v>42149</v>
      </c>
      <c r="H7" s="12">
        <v>1962412</v>
      </c>
      <c r="I7" s="13">
        <f t="shared" si="2"/>
        <v>46.558921919855749</v>
      </c>
      <c r="J7" s="14">
        <f t="shared" si="3"/>
        <v>153.91379128590097</v>
      </c>
      <c r="K7" s="11">
        <v>233702</v>
      </c>
      <c r="L7" s="12">
        <v>16079466</v>
      </c>
      <c r="M7" s="13">
        <f t="shared" si="4"/>
        <v>68.803287947899463</v>
      </c>
      <c r="N7" s="14">
        <f t="shared" si="5"/>
        <v>227.44888550524138</v>
      </c>
      <c r="O7" s="11">
        <v>540</v>
      </c>
      <c r="P7" s="12">
        <v>10000</v>
      </c>
      <c r="Q7" s="13">
        <f t="shared" si="6"/>
        <v>18.518518518518519</v>
      </c>
      <c r="R7" s="14">
        <f t="shared" si="7"/>
        <v>61.218242962962961</v>
      </c>
      <c r="S7" s="11">
        <v>0</v>
      </c>
      <c r="T7" s="12">
        <v>0</v>
      </c>
      <c r="U7" s="13" t="e">
        <f t="shared" si="8"/>
        <v>#DIV/0!</v>
      </c>
      <c r="V7" s="14" t="e">
        <f t="shared" si="9"/>
        <v>#DIV/0!</v>
      </c>
      <c r="W7" s="11">
        <v>779</v>
      </c>
      <c r="X7" s="12">
        <v>15879</v>
      </c>
      <c r="Y7" s="13">
        <f t="shared" si="10"/>
        <v>20.383825417201539</v>
      </c>
      <c r="Z7" s="14">
        <f t="shared" si="11"/>
        <v>67.384546752862633</v>
      </c>
      <c r="AA7" s="11">
        <v>0</v>
      </c>
      <c r="AB7" s="12">
        <v>0</v>
      </c>
      <c r="AC7" s="13" t="e">
        <f t="shared" si="12"/>
        <v>#DIV/0!</v>
      </c>
      <c r="AD7" s="14" t="e">
        <f t="shared" si="13"/>
        <v>#DIV/0!</v>
      </c>
      <c r="AE7" s="11">
        <v>22641</v>
      </c>
      <c r="AF7" s="12">
        <v>315800</v>
      </c>
      <c r="AG7" s="13">
        <f t="shared" si="14"/>
        <v>13.948147166644583</v>
      </c>
      <c r="AH7" s="14">
        <f t="shared" si="15"/>
        <v>46.10957735506382</v>
      </c>
      <c r="AI7" s="11">
        <v>0</v>
      </c>
      <c r="AJ7" s="12">
        <v>0</v>
      </c>
      <c r="AK7" s="13" t="e">
        <f t="shared" si="16"/>
        <v>#DIV/0!</v>
      </c>
      <c r="AL7" s="14" t="e">
        <f t="shared" si="17"/>
        <v>#DIV/0!</v>
      </c>
      <c r="AM7" s="11">
        <v>10032</v>
      </c>
      <c r="AN7" s="12">
        <v>459980</v>
      </c>
      <c r="AO7" s="13">
        <f t="shared" si="18"/>
        <v>45.851275917065394</v>
      </c>
      <c r="AP7" s="14">
        <f t="shared" si="19"/>
        <v>151.57446565964912</v>
      </c>
      <c r="AQ7" s="11">
        <v>0</v>
      </c>
      <c r="AR7" s="12">
        <v>0</v>
      </c>
      <c r="AS7" s="13" t="e">
        <f t="shared" si="20"/>
        <v>#DIV/0!</v>
      </c>
      <c r="AT7" s="14" t="e">
        <f t="shared" si="21"/>
        <v>#DIV/0!</v>
      </c>
      <c r="AU7" s="11">
        <v>39086</v>
      </c>
      <c r="AV7" s="12">
        <v>2340000</v>
      </c>
      <c r="AW7" s="13">
        <f t="shared" si="22"/>
        <v>59.867983421173825</v>
      </c>
      <c r="AX7" s="14">
        <f t="shared" si="23"/>
        <v>197.91068875812311</v>
      </c>
      <c r="AY7" s="11">
        <v>181</v>
      </c>
      <c r="AZ7" s="12">
        <v>6000</v>
      </c>
      <c r="BA7" s="13">
        <f t="shared" si="24"/>
        <v>33.149171270718234</v>
      </c>
      <c r="BB7" s="14">
        <f t="shared" si="25"/>
        <v>109.58403712707182</v>
      </c>
      <c r="BC7" s="11">
        <v>0</v>
      </c>
      <c r="BD7" s="12">
        <v>0</v>
      </c>
      <c r="BE7" s="13" t="e">
        <f t="shared" si="26"/>
        <v>#DIV/0!</v>
      </c>
      <c r="BF7" s="14" t="e">
        <f t="shared" si="27"/>
        <v>#DIV/0!</v>
      </c>
      <c r="BG7" s="11">
        <v>1096</v>
      </c>
      <c r="BH7" s="12">
        <v>70000</v>
      </c>
      <c r="BI7" s="13">
        <f t="shared" si="28"/>
        <v>63.868613138686129</v>
      </c>
      <c r="BJ7" s="14">
        <f t="shared" si="29"/>
        <v>211.13591094890509</v>
      </c>
    </row>
    <row r="8" spans="1:62">
      <c r="B8" s="2" t="s">
        <v>3</v>
      </c>
      <c r="C8" s="11">
        <v>560842</v>
      </c>
      <c r="D8" s="12">
        <v>5842073</v>
      </c>
      <c r="E8" s="13">
        <f t="shared" si="0"/>
        <v>10.416611095460041</v>
      </c>
      <c r="F8" s="14">
        <f t="shared" si="1"/>
        <v>34.435077960198704</v>
      </c>
      <c r="G8" s="11">
        <v>58534</v>
      </c>
      <c r="H8" s="12">
        <v>780080</v>
      </c>
      <c r="I8" s="13">
        <f t="shared" si="2"/>
        <v>13.326955273857928</v>
      </c>
      <c r="J8" s="14">
        <f t="shared" si="3"/>
        <v>44.056050439225061</v>
      </c>
      <c r="K8" s="11">
        <v>485</v>
      </c>
      <c r="L8" s="12">
        <v>5600</v>
      </c>
      <c r="M8" s="13">
        <f t="shared" si="4"/>
        <v>11.546391752577319</v>
      </c>
      <c r="N8" s="14">
        <f t="shared" si="5"/>
        <v>38.169890045360823</v>
      </c>
      <c r="O8" s="11">
        <v>73357</v>
      </c>
      <c r="P8" s="12">
        <v>1094000</v>
      </c>
      <c r="Q8" s="13">
        <f t="shared" si="6"/>
        <v>14.913368867320091</v>
      </c>
      <c r="R8" s="14">
        <f t="shared" si="7"/>
        <v>49.30039289065801</v>
      </c>
      <c r="S8" s="11">
        <v>25992</v>
      </c>
      <c r="T8" s="12">
        <v>350320</v>
      </c>
      <c r="U8" s="13">
        <f t="shared" si="8"/>
        <v>13.477993228685749</v>
      </c>
      <c r="V8" s="14">
        <f t="shared" si="9"/>
        <v>44.555349462850103</v>
      </c>
      <c r="W8" s="11">
        <v>438</v>
      </c>
      <c r="X8" s="12">
        <v>4533</v>
      </c>
      <c r="Y8" s="13">
        <f t="shared" si="10"/>
        <v>10.349315068493151</v>
      </c>
      <c r="Z8" s="14">
        <f t="shared" si="11"/>
        <v>34.212611755616443</v>
      </c>
      <c r="AA8" s="11">
        <v>76510</v>
      </c>
      <c r="AB8" s="12">
        <v>1550000</v>
      </c>
      <c r="AC8" s="13">
        <f t="shared" si="12"/>
        <v>20.25878970069272</v>
      </c>
      <c r="AD8" s="14">
        <f t="shared" si="13"/>
        <v>66.971205541759247</v>
      </c>
      <c r="AE8" s="11">
        <v>72696</v>
      </c>
      <c r="AF8" s="12">
        <v>1100500</v>
      </c>
      <c r="AG8" s="13">
        <f t="shared" si="14"/>
        <v>15.138384505337296</v>
      </c>
      <c r="AH8" s="14">
        <f t="shared" si="15"/>
        <v>50.044246238582595</v>
      </c>
      <c r="AI8" s="11">
        <v>0</v>
      </c>
      <c r="AJ8" s="12">
        <v>0</v>
      </c>
      <c r="AK8" s="13" t="e">
        <f t="shared" si="16"/>
        <v>#DIV/0!</v>
      </c>
      <c r="AL8" s="14" t="e">
        <f t="shared" si="17"/>
        <v>#DIV/0!</v>
      </c>
      <c r="AM8" s="11">
        <v>20271</v>
      </c>
      <c r="AN8" s="12">
        <v>500800</v>
      </c>
      <c r="AO8" s="13">
        <f t="shared" si="18"/>
        <v>24.705243944551331</v>
      </c>
      <c r="AP8" s="14">
        <f t="shared" si="19"/>
        <v>81.670227817867897</v>
      </c>
      <c r="AQ8" s="11">
        <v>55</v>
      </c>
      <c r="AR8" s="12">
        <v>600</v>
      </c>
      <c r="AS8" s="13">
        <f t="shared" si="20"/>
        <v>10.909090909090908</v>
      </c>
      <c r="AT8" s="14">
        <f t="shared" si="21"/>
        <v>36.063110399999999</v>
      </c>
      <c r="AU8" s="11">
        <v>41165</v>
      </c>
      <c r="AV8" s="12">
        <v>1500630</v>
      </c>
      <c r="AW8" s="13">
        <f t="shared" si="22"/>
        <v>36.454026478804813</v>
      </c>
      <c r="AX8" s="14">
        <f t="shared" si="23"/>
        <v>120.50917829771895</v>
      </c>
      <c r="AY8" s="11">
        <v>438</v>
      </c>
      <c r="AZ8" s="12">
        <v>18000</v>
      </c>
      <c r="BA8" s="13">
        <f t="shared" si="24"/>
        <v>41.095890410958901</v>
      </c>
      <c r="BB8" s="14">
        <f t="shared" si="25"/>
        <v>135.85418301369862</v>
      </c>
      <c r="BC8" s="11">
        <v>188</v>
      </c>
      <c r="BD8" s="12">
        <v>16950</v>
      </c>
      <c r="BE8" s="13">
        <f t="shared" si="26"/>
        <v>90.159574468085111</v>
      </c>
      <c r="BF8" s="14">
        <f t="shared" si="27"/>
        <v>298.04817970212764</v>
      </c>
      <c r="BG8" s="11">
        <v>387</v>
      </c>
      <c r="BH8" s="12">
        <v>12085</v>
      </c>
      <c r="BI8" s="13">
        <f t="shared" si="28"/>
        <v>31.227390180878555</v>
      </c>
      <c r="BJ8" s="14">
        <f t="shared" si="29"/>
        <v>103.23104179638243</v>
      </c>
    </row>
    <row r="9" spans="1:62">
      <c r="B9" s="2" t="s">
        <v>4</v>
      </c>
      <c r="C9" s="11">
        <v>266605</v>
      </c>
      <c r="D9" s="12">
        <v>8404400</v>
      </c>
      <c r="E9" s="13">
        <f t="shared" si="0"/>
        <v>31.523789876408919</v>
      </c>
      <c r="F9" s="14">
        <f t="shared" si="1"/>
        <v>104.21087549943924</v>
      </c>
      <c r="G9" s="11">
        <v>31335</v>
      </c>
      <c r="H9" s="12">
        <v>1411293</v>
      </c>
      <c r="I9" s="13">
        <f t="shared" si="2"/>
        <v>45.038870272857828</v>
      </c>
      <c r="J9" s="14">
        <f t="shared" si="3"/>
        <v>148.88882716962374</v>
      </c>
      <c r="K9" s="11">
        <v>7137</v>
      </c>
      <c r="L9" s="12">
        <v>235000</v>
      </c>
      <c r="M9" s="13">
        <f t="shared" si="4"/>
        <v>32.927000140114892</v>
      </c>
      <c r="N9" s="14">
        <f t="shared" si="5"/>
        <v>108.84958710942972</v>
      </c>
      <c r="O9" s="11">
        <v>9146</v>
      </c>
      <c r="P9" s="12">
        <v>400000</v>
      </c>
      <c r="Q9" s="13">
        <f t="shared" si="6"/>
        <v>43.73496610540127</v>
      </c>
      <c r="R9" s="14">
        <f t="shared" si="7"/>
        <v>144.57840017493987</v>
      </c>
      <c r="S9" s="11">
        <v>13024</v>
      </c>
      <c r="T9" s="12">
        <v>403300</v>
      </c>
      <c r="U9" s="13">
        <f t="shared" si="8"/>
        <v>30.96590909090909</v>
      </c>
      <c r="V9" s="14">
        <f t="shared" si="9"/>
        <v>102.3666415</v>
      </c>
      <c r="W9" s="11">
        <v>3518</v>
      </c>
      <c r="X9" s="12">
        <v>225292</v>
      </c>
      <c r="Y9" s="13">
        <f t="shared" si="10"/>
        <v>64.039795338260376</v>
      </c>
      <c r="Z9" s="14">
        <f t="shared" si="11"/>
        <v>211.70180251706651</v>
      </c>
      <c r="AA9" s="11">
        <v>3068</v>
      </c>
      <c r="AB9" s="12">
        <v>78000</v>
      </c>
      <c r="AC9" s="13">
        <f t="shared" si="12"/>
        <v>25.423728813559322</v>
      </c>
      <c r="AD9" s="14">
        <f t="shared" si="13"/>
        <v>84.045384406779661</v>
      </c>
      <c r="AE9" s="11">
        <v>8672</v>
      </c>
      <c r="AF9" s="12">
        <v>335000</v>
      </c>
      <c r="AG9" s="13">
        <f t="shared" si="14"/>
        <v>38.63007380073801</v>
      </c>
      <c r="AH9" s="14">
        <f t="shared" si="15"/>
        <v>127.70272315498156</v>
      </c>
      <c r="AI9" s="11">
        <v>15400</v>
      </c>
      <c r="AJ9" s="12">
        <v>859050</v>
      </c>
      <c r="AK9" s="13">
        <f t="shared" si="16"/>
        <v>55.782467532467535</v>
      </c>
      <c r="AL9" s="14">
        <f t="shared" si="17"/>
        <v>184.40485112571429</v>
      </c>
      <c r="AM9" s="11">
        <v>15055</v>
      </c>
      <c r="AN9" s="12">
        <v>410000</v>
      </c>
      <c r="AO9" s="13">
        <f t="shared" si="18"/>
        <v>27.23347725008303</v>
      </c>
      <c r="AP9" s="14">
        <f t="shared" si="19"/>
        <v>90.028023859182994</v>
      </c>
      <c r="AQ9" s="11">
        <v>34043</v>
      </c>
      <c r="AR9" s="12">
        <v>1561518</v>
      </c>
      <c r="AS9" s="13">
        <f t="shared" si="20"/>
        <v>45.868989219516493</v>
      </c>
      <c r="AT9" s="14">
        <f t="shared" si="21"/>
        <v>151.63302203131803</v>
      </c>
      <c r="AU9" s="11">
        <v>11391</v>
      </c>
      <c r="AV9" s="12">
        <v>786964</v>
      </c>
      <c r="AW9" s="13">
        <f t="shared" si="22"/>
        <v>69.086471775963474</v>
      </c>
      <c r="AX9" s="14">
        <f t="shared" si="23"/>
        <v>228.38503039028001</v>
      </c>
      <c r="AY9" s="11">
        <v>2491</v>
      </c>
      <c r="AZ9" s="12">
        <v>100000</v>
      </c>
      <c r="BA9" s="13">
        <f t="shared" si="24"/>
        <v>40.144520272982739</v>
      </c>
      <c r="BB9" s="14">
        <f t="shared" si="25"/>
        <v>132.70915776796468</v>
      </c>
      <c r="BC9" s="11">
        <v>0</v>
      </c>
      <c r="BD9" s="12">
        <v>0</v>
      </c>
      <c r="BE9" s="13" t="e">
        <f t="shared" si="26"/>
        <v>#DIV/0!</v>
      </c>
      <c r="BF9" s="14" t="e">
        <f t="shared" si="27"/>
        <v>#DIV/0!</v>
      </c>
      <c r="BG9" s="11">
        <v>16153</v>
      </c>
      <c r="BH9" s="12">
        <v>560000</v>
      </c>
      <c r="BI9" s="13">
        <f t="shared" si="28"/>
        <v>34.668482634804683</v>
      </c>
      <c r="BJ9" s="14">
        <f t="shared" si="29"/>
        <v>114.60655402711571</v>
      </c>
    </row>
    <row r="10" spans="1:62">
      <c r="B10" s="2" t="s">
        <v>5</v>
      </c>
      <c r="C10" s="11">
        <v>314681</v>
      </c>
      <c r="D10" s="12">
        <v>7514820</v>
      </c>
      <c r="E10" s="13">
        <f t="shared" si="0"/>
        <v>23.880755431691142</v>
      </c>
      <c r="F10" s="14">
        <f t="shared" si="1"/>
        <v>78.944645960443751</v>
      </c>
      <c r="G10" s="11">
        <v>7101</v>
      </c>
      <c r="H10" s="12">
        <v>250000</v>
      </c>
      <c r="I10" s="13">
        <f t="shared" si="2"/>
        <v>35.206308970567527</v>
      </c>
      <c r="J10" s="14">
        <f t="shared" si="3"/>
        <v>116.38449232502464</v>
      </c>
      <c r="K10" s="11">
        <v>0</v>
      </c>
      <c r="L10" s="12">
        <v>0</v>
      </c>
      <c r="M10" s="13" t="e">
        <f t="shared" si="4"/>
        <v>#DIV/0!</v>
      </c>
      <c r="N10" s="14" t="e">
        <f t="shared" si="5"/>
        <v>#DIV/0!</v>
      </c>
      <c r="O10" s="11">
        <v>0</v>
      </c>
      <c r="P10" s="12">
        <v>0</v>
      </c>
      <c r="Q10" s="13" t="e">
        <f t="shared" si="6"/>
        <v>#DIV/0!</v>
      </c>
      <c r="R10" s="14" t="e">
        <f t="shared" si="7"/>
        <v>#DIV/0!</v>
      </c>
      <c r="S10" s="11">
        <v>45264</v>
      </c>
      <c r="T10" s="12">
        <v>1927700</v>
      </c>
      <c r="U10" s="13">
        <f t="shared" si="8"/>
        <v>42.587928596677273</v>
      </c>
      <c r="V10" s="14">
        <f t="shared" si="9"/>
        <v>140.7865406465182</v>
      </c>
      <c r="W10" s="11">
        <v>0</v>
      </c>
      <c r="X10" s="12">
        <v>0</v>
      </c>
      <c r="Y10" s="13" t="e">
        <f t="shared" si="10"/>
        <v>#DIV/0!</v>
      </c>
      <c r="Z10" s="14" t="e">
        <f t="shared" si="11"/>
        <v>#DIV/0!</v>
      </c>
      <c r="AA10" s="11">
        <v>1698</v>
      </c>
      <c r="AB10" s="12">
        <v>65000</v>
      </c>
      <c r="AC10" s="13">
        <f t="shared" si="12"/>
        <v>38.280329799764431</v>
      </c>
      <c r="AD10" s="14">
        <f t="shared" si="13"/>
        <v>126.54654464075384</v>
      </c>
      <c r="AE10" s="11">
        <v>233</v>
      </c>
      <c r="AF10" s="12">
        <v>100000</v>
      </c>
      <c r="AG10" s="13">
        <f t="shared" si="14"/>
        <v>429.18454935622316</v>
      </c>
      <c r="AH10" s="14">
        <f t="shared" si="15"/>
        <v>1418.7918969957082</v>
      </c>
      <c r="AI10" s="11">
        <v>0</v>
      </c>
      <c r="AJ10" s="12">
        <v>0</v>
      </c>
      <c r="AK10" s="13" t="e">
        <f t="shared" si="16"/>
        <v>#DIV/0!</v>
      </c>
      <c r="AL10" s="14" t="e">
        <f t="shared" si="17"/>
        <v>#DIV/0!</v>
      </c>
      <c r="AM10" s="11">
        <v>0</v>
      </c>
      <c r="AN10" s="12">
        <v>0</v>
      </c>
      <c r="AO10" s="13" t="e">
        <f t="shared" si="18"/>
        <v>#DIV/0!</v>
      </c>
      <c r="AP10" s="14" t="e">
        <f t="shared" si="19"/>
        <v>#DIV/0!</v>
      </c>
      <c r="AQ10" s="11">
        <v>0</v>
      </c>
      <c r="AR10" s="12">
        <v>0</v>
      </c>
      <c r="AS10" s="13" t="e">
        <f t="shared" si="20"/>
        <v>#DIV/0!</v>
      </c>
      <c r="AT10" s="14" t="e">
        <f t="shared" si="21"/>
        <v>#DIV/0!</v>
      </c>
      <c r="AU10" s="11">
        <v>0</v>
      </c>
      <c r="AV10" s="12">
        <v>0</v>
      </c>
      <c r="AW10" s="13" t="e">
        <f t="shared" si="22"/>
        <v>#DIV/0!</v>
      </c>
      <c r="AX10" s="14" t="e">
        <f t="shared" si="23"/>
        <v>#DIV/0!</v>
      </c>
      <c r="AY10" s="11">
        <v>0</v>
      </c>
      <c r="AZ10" s="12">
        <v>0</v>
      </c>
      <c r="BA10" s="13" t="e">
        <f t="shared" si="24"/>
        <v>#DIV/0!</v>
      </c>
      <c r="BB10" s="14" t="e">
        <f t="shared" si="25"/>
        <v>#DIV/0!</v>
      </c>
      <c r="BC10" s="11">
        <v>0</v>
      </c>
      <c r="BD10" s="12">
        <v>0</v>
      </c>
      <c r="BE10" s="13" t="e">
        <f t="shared" si="26"/>
        <v>#DIV/0!</v>
      </c>
      <c r="BF10" s="14" t="e">
        <f t="shared" si="27"/>
        <v>#DIV/0!</v>
      </c>
      <c r="BG10" s="11">
        <v>117</v>
      </c>
      <c r="BH10" s="12">
        <v>10000</v>
      </c>
      <c r="BI10" s="13">
        <f t="shared" si="28"/>
        <v>85.470085470085465</v>
      </c>
      <c r="BJ10" s="14">
        <f t="shared" si="29"/>
        <v>282.54573675213675</v>
      </c>
    </row>
    <row r="11" spans="1:62" ht="18.600000000000001" thickBot="1">
      <c r="B11" s="2" t="s">
        <v>6</v>
      </c>
      <c r="C11" s="15">
        <v>507097</v>
      </c>
      <c r="D11" s="16">
        <v>17314472</v>
      </c>
      <c r="E11" s="17">
        <f t="shared" si="0"/>
        <v>34.1442998085179</v>
      </c>
      <c r="F11" s="18">
        <f t="shared" si="1"/>
        <v>112.87371823981732</v>
      </c>
      <c r="G11" s="15">
        <v>50041</v>
      </c>
      <c r="H11" s="16">
        <v>2062198</v>
      </c>
      <c r="I11" s="17">
        <f t="shared" si="2"/>
        <v>41.210167662516739</v>
      </c>
      <c r="J11" s="18">
        <f t="shared" si="3"/>
        <v>136.231959051453</v>
      </c>
      <c r="K11" s="15">
        <v>8699</v>
      </c>
      <c r="L11" s="16">
        <v>257572</v>
      </c>
      <c r="M11" s="17">
        <f t="shared" si="4"/>
        <v>29.609380388550409</v>
      </c>
      <c r="N11" s="18">
        <f t="shared" si="5"/>
        <v>97.882249100889766</v>
      </c>
      <c r="O11" s="15">
        <v>11687</v>
      </c>
      <c r="P11" s="16">
        <v>363695</v>
      </c>
      <c r="Q11" s="17">
        <f t="shared" si="6"/>
        <v>31.119620090699069</v>
      </c>
      <c r="R11" s="18">
        <f t="shared" si="7"/>
        <v>102.87477703588603</v>
      </c>
      <c r="S11" s="15">
        <v>29941</v>
      </c>
      <c r="T11" s="16">
        <v>1871775</v>
      </c>
      <c r="U11" s="17">
        <f t="shared" si="8"/>
        <v>62.515447045856853</v>
      </c>
      <c r="V11" s="18">
        <f t="shared" si="9"/>
        <v>206.66263461434153</v>
      </c>
      <c r="W11" s="15">
        <v>9188</v>
      </c>
      <c r="X11" s="16">
        <v>483125</v>
      </c>
      <c r="Y11" s="17">
        <f t="shared" si="10"/>
        <v>52.582172398781019</v>
      </c>
      <c r="Z11" s="18">
        <f t="shared" si="11"/>
        <v>173.82536309316498</v>
      </c>
      <c r="AA11" s="15">
        <v>34727</v>
      </c>
      <c r="AB11" s="16">
        <v>1085909</v>
      </c>
      <c r="AC11" s="17">
        <f t="shared" si="12"/>
        <v>31.269876464998415</v>
      </c>
      <c r="AD11" s="18">
        <f t="shared" si="13"/>
        <v>103.37149232222995</v>
      </c>
      <c r="AE11" s="15">
        <v>4314</v>
      </c>
      <c r="AF11" s="16">
        <v>175486</v>
      </c>
      <c r="AG11" s="17">
        <f t="shared" si="14"/>
        <v>40.678256838201207</v>
      </c>
      <c r="AH11" s="18">
        <f t="shared" si="15"/>
        <v>134.4735761632638</v>
      </c>
      <c r="AI11" s="15">
        <v>12774</v>
      </c>
      <c r="AJ11" s="16">
        <v>936374</v>
      </c>
      <c r="AK11" s="17">
        <f t="shared" si="16"/>
        <v>73.303115703773287</v>
      </c>
      <c r="AL11" s="18">
        <f t="shared" si="17"/>
        <v>242.32434914317204</v>
      </c>
      <c r="AM11" s="15">
        <v>1320</v>
      </c>
      <c r="AN11" s="16">
        <v>58144</v>
      </c>
      <c r="AO11" s="17">
        <f t="shared" si="18"/>
        <v>44.048484848484847</v>
      </c>
      <c r="AP11" s="18">
        <f t="shared" si="19"/>
        <v>145.61482577066667</v>
      </c>
      <c r="AQ11" s="15">
        <v>968</v>
      </c>
      <c r="AR11" s="16">
        <v>13963</v>
      </c>
      <c r="AS11" s="17">
        <f t="shared" si="20"/>
        <v>14.424586776859504</v>
      </c>
      <c r="AT11" s="18">
        <f t="shared" si="21"/>
        <v>47.68458432909091</v>
      </c>
      <c r="AU11" s="15">
        <v>72472</v>
      </c>
      <c r="AV11" s="16">
        <v>7480770</v>
      </c>
      <c r="AW11" s="17">
        <f t="shared" si="22"/>
        <v>103.2228998785738</v>
      </c>
      <c r="AX11" s="18">
        <f t="shared" si="23"/>
        <v>341.23272646183904</v>
      </c>
      <c r="AY11" s="15">
        <v>125722</v>
      </c>
      <c r="AZ11" s="16">
        <v>12810713</v>
      </c>
      <c r="BA11" s="17">
        <f t="shared" si="24"/>
        <v>101.89714608421755</v>
      </c>
      <c r="BB11" s="18">
        <f t="shared" si="25"/>
        <v>336.85006929567265</v>
      </c>
      <c r="BC11" s="15">
        <v>66242</v>
      </c>
      <c r="BD11" s="16">
        <v>4926065.9613600001</v>
      </c>
      <c r="BE11" s="17">
        <f t="shared" si="26"/>
        <v>74.364692511699531</v>
      </c>
      <c r="BF11" s="18">
        <f t="shared" si="27"/>
        <v>245.83369395855172</v>
      </c>
      <c r="BG11" s="15">
        <v>11749</v>
      </c>
      <c r="BH11" s="16">
        <v>267872</v>
      </c>
      <c r="BI11" s="17">
        <f t="shared" si="28"/>
        <v>22.799557409141205</v>
      </c>
      <c r="BJ11" s="18">
        <f t="shared" si="29"/>
        <v>75.370437625724747</v>
      </c>
    </row>
    <row r="12" spans="1:62">
      <c r="BC12" s="3"/>
      <c r="BD12" s="3"/>
      <c r="BG12" s="3"/>
      <c r="BH12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DFC6-CC85-446D-809C-D5DC65FC4B4B}">
  <dimension ref="A1:BJ12"/>
  <sheetViews>
    <sheetView workbookViewId="0"/>
  </sheetViews>
  <sheetFormatPr defaultColWidth="8.69921875" defaultRowHeight="18"/>
  <cols>
    <col min="1" max="1" width="2.796875" style="2" customWidth="1"/>
    <col min="2" max="2" width="14.296875" style="2" bestFit="1" customWidth="1"/>
    <col min="3" max="88" width="11.59765625" style="2" customWidth="1"/>
    <col min="89" max="16384" width="8.69921875" style="2"/>
  </cols>
  <sheetData>
    <row r="1" spans="1:62" ht="19.8">
      <c r="A1" s="1" t="s">
        <v>13</v>
      </c>
    </row>
    <row r="2" spans="1:62" ht="20.399999999999999" thickBot="1">
      <c r="A2" s="1"/>
    </row>
    <row r="3" spans="1:62">
      <c r="C3" s="4" t="s">
        <v>45</v>
      </c>
      <c r="D3" s="5"/>
      <c r="E3" s="5"/>
      <c r="F3" s="6"/>
      <c r="G3" s="4" t="s">
        <v>27</v>
      </c>
      <c r="H3" s="5"/>
      <c r="I3" s="5"/>
      <c r="J3" s="6"/>
      <c r="K3" s="4" t="s">
        <v>26</v>
      </c>
      <c r="L3" s="5"/>
      <c r="M3" s="5"/>
      <c r="N3" s="6"/>
      <c r="O3" s="4" t="s">
        <v>25</v>
      </c>
      <c r="P3" s="5"/>
      <c r="Q3" s="5"/>
      <c r="R3" s="6"/>
      <c r="S3" s="4" t="s">
        <v>24</v>
      </c>
      <c r="T3" s="5"/>
      <c r="U3" s="5"/>
      <c r="V3" s="6"/>
      <c r="W3" s="4" t="s">
        <v>23</v>
      </c>
      <c r="X3" s="5"/>
      <c r="Y3" s="5"/>
      <c r="Z3" s="6"/>
      <c r="AA3" s="4" t="s">
        <v>22</v>
      </c>
      <c r="AB3" s="5"/>
      <c r="AC3" s="5"/>
      <c r="AD3" s="6"/>
      <c r="AE3" s="4" t="s">
        <v>21</v>
      </c>
      <c r="AF3" s="5"/>
      <c r="AG3" s="5"/>
      <c r="AH3" s="6"/>
      <c r="AI3" s="4" t="s">
        <v>20</v>
      </c>
      <c r="AJ3" s="5"/>
      <c r="AK3" s="5"/>
      <c r="AL3" s="6"/>
      <c r="AM3" s="4" t="s">
        <v>19</v>
      </c>
      <c r="AN3" s="5"/>
      <c r="AO3" s="5"/>
      <c r="AP3" s="6"/>
      <c r="AQ3" s="4" t="s">
        <v>18</v>
      </c>
      <c r="AR3" s="5"/>
      <c r="AS3" s="5"/>
      <c r="AT3" s="6"/>
      <c r="AU3" s="4" t="s">
        <v>17</v>
      </c>
      <c r="AV3" s="5"/>
      <c r="AW3" s="5"/>
      <c r="AX3" s="6"/>
      <c r="AY3" s="4" t="s">
        <v>16</v>
      </c>
      <c r="AZ3" s="5"/>
      <c r="BA3" s="5"/>
      <c r="BB3" s="6"/>
      <c r="BC3" s="4" t="s">
        <v>15</v>
      </c>
      <c r="BD3" s="5"/>
      <c r="BE3" s="5"/>
      <c r="BF3" s="6"/>
      <c r="BG3" s="4" t="s">
        <v>12</v>
      </c>
      <c r="BH3" s="5"/>
      <c r="BI3" s="5"/>
      <c r="BJ3" s="6"/>
    </row>
    <row r="4" spans="1:62" ht="45" customHeight="1">
      <c r="C4" s="7" t="s">
        <v>7</v>
      </c>
      <c r="D4" s="8" t="s">
        <v>8</v>
      </c>
      <c r="E4" s="9" t="s">
        <v>10</v>
      </c>
      <c r="F4" s="10" t="s">
        <v>11</v>
      </c>
      <c r="G4" s="7" t="s">
        <v>7</v>
      </c>
      <c r="H4" s="8" t="s">
        <v>8</v>
      </c>
      <c r="I4" s="9" t="s">
        <v>10</v>
      </c>
      <c r="J4" s="10" t="s">
        <v>11</v>
      </c>
      <c r="K4" s="7" t="s">
        <v>7</v>
      </c>
      <c r="L4" s="8" t="s">
        <v>8</v>
      </c>
      <c r="M4" s="9" t="s">
        <v>10</v>
      </c>
      <c r="N4" s="10" t="s">
        <v>11</v>
      </c>
      <c r="O4" s="7" t="s">
        <v>7</v>
      </c>
      <c r="P4" s="8" t="s">
        <v>8</v>
      </c>
      <c r="Q4" s="9" t="s">
        <v>10</v>
      </c>
      <c r="R4" s="10" t="s">
        <v>11</v>
      </c>
      <c r="S4" s="7" t="s">
        <v>7</v>
      </c>
      <c r="T4" s="8" t="s">
        <v>8</v>
      </c>
      <c r="U4" s="9" t="s">
        <v>10</v>
      </c>
      <c r="V4" s="10" t="s">
        <v>11</v>
      </c>
      <c r="W4" s="7" t="s">
        <v>7</v>
      </c>
      <c r="X4" s="8" t="s">
        <v>8</v>
      </c>
      <c r="Y4" s="9" t="s">
        <v>10</v>
      </c>
      <c r="Z4" s="10" t="s">
        <v>11</v>
      </c>
      <c r="AA4" s="7" t="s">
        <v>7</v>
      </c>
      <c r="AB4" s="8" t="s">
        <v>8</v>
      </c>
      <c r="AC4" s="9" t="s">
        <v>10</v>
      </c>
      <c r="AD4" s="10" t="s">
        <v>11</v>
      </c>
      <c r="AE4" s="7" t="s">
        <v>7</v>
      </c>
      <c r="AF4" s="8" t="s">
        <v>8</v>
      </c>
      <c r="AG4" s="9" t="s">
        <v>10</v>
      </c>
      <c r="AH4" s="10" t="s">
        <v>11</v>
      </c>
      <c r="AI4" s="7" t="s">
        <v>7</v>
      </c>
      <c r="AJ4" s="8" t="s">
        <v>8</v>
      </c>
      <c r="AK4" s="9" t="s">
        <v>10</v>
      </c>
      <c r="AL4" s="10" t="s">
        <v>11</v>
      </c>
      <c r="AM4" s="7" t="s">
        <v>7</v>
      </c>
      <c r="AN4" s="8" t="s">
        <v>8</v>
      </c>
      <c r="AO4" s="9" t="s">
        <v>10</v>
      </c>
      <c r="AP4" s="10" t="s">
        <v>11</v>
      </c>
      <c r="AQ4" s="7" t="s">
        <v>7</v>
      </c>
      <c r="AR4" s="8" t="s">
        <v>8</v>
      </c>
      <c r="AS4" s="9" t="s">
        <v>10</v>
      </c>
      <c r="AT4" s="10" t="s">
        <v>11</v>
      </c>
      <c r="AU4" s="7" t="s">
        <v>7</v>
      </c>
      <c r="AV4" s="8" t="s">
        <v>8</v>
      </c>
      <c r="AW4" s="9" t="s">
        <v>10</v>
      </c>
      <c r="AX4" s="10" t="s">
        <v>11</v>
      </c>
      <c r="AY4" s="7" t="s">
        <v>7</v>
      </c>
      <c r="AZ4" s="8" t="s">
        <v>8</v>
      </c>
      <c r="BA4" s="9" t="s">
        <v>10</v>
      </c>
      <c r="BB4" s="10" t="s">
        <v>11</v>
      </c>
      <c r="BC4" s="7" t="s">
        <v>7</v>
      </c>
      <c r="BD4" s="8" t="s">
        <v>8</v>
      </c>
      <c r="BE4" s="9" t="s">
        <v>10</v>
      </c>
      <c r="BF4" s="10" t="s">
        <v>11</v>
      </c>
      <c r="BG4" s="7" t="s">
        <v>7</v>
      </c>
      <c r="BH4" s="8" t="s">
        <v>8</v>
      </c>
      <c r="BI4" s="9" t="s">
        <v>10</v>
      </c>
      <c r="BJ4" s="10" t="s">
        <v>11</v>
      </c>
    </row>
    <row r="5" spans="1:62">
      <c r="B5" s="2" t="s">
        <v>0</v>
      </c>
      <c r="C5" s="11">
        <v>673470</v>
      </c>
      <c r="D5" s="12">
        <v>21399499</v>
      </c>
      <c r="E5" s="13">
        <f>D5/C5</f>
        <v>31.774984780316867</v>
      </c>
      <c r="F5" s="14">
        <f>E5*3.30578512</f>
        <v>105.04127187499796</v>
      </c>
      <c r="G5" s="11">
        <v>32466</v>
      </c>
      <c r="H5" s="12">
        <v>1049125</v>
      </c>
      <c r="I5" s="13">
        <f>H5/G5</f>
        <v>32.314575247951701</v>
      </c>
      <c r="J5" s="14">
        <f>I5*3.30578512</f>
        <v>106.82504201379905</v>
      </c>
      <c r="K5" s="11">
        <v>79603</v>
      </c>
      <c r="L5" s="12">
        <v>3510950</v>
      </c>
      <c r="M5" s="13">
        <f>L5/K5</f>
        <v>44.105749783299622</v>
      </c>
      <c r="N5" s="14">
        <f>M5*3.30578512</f>
        <v>145.80413134007512</v>
      </c>
      <c r="O5" s="11">
        <v>57126</v>
      </c>
      <c r="P5" s="12">
        <v>2171051</v>
      </c>
      <c r="Q5" s="13">
        <f>P5/O5</f>
        <v>38.004603858138154</v>
      </c>
      <c r="R5" s="14">
        <f>Q5*3.30578512</f>
        <v>125.63505392572769</v>
      </c>
      <c r="S5" s="11">
        <v>45541</v>
      </c>
      <c r="T5" s="12">
        <v>1919944</v>
      </c>
      <c r="U5" s="13">
        <f>T5/S5</f>
        <v>42.15858237632024</v>
      </c>
      <c r="V5" s="14">
        <f>U5*3.30578512</f>
        <v>139.36721429993369</v>
      </c>
      <c r="W5" s="11">
        <v>55883</v>
      </c>
      <c r="X5" s="12">
        <v>2392358</v>
      </c>
      <c r="Y5" s="13">
        <f>X5/W5</f>
        <v>42.810121145965681</v>
      </c>
      <c r="Z5" s="14">
        <f>Y5*3.30578512</f>
        <v>141.52106146973068</v>
      </c>
      <c r="AA5" s="11">
        <v>53575</v>
      </c>
      <c r="AB5" s="12">
        <v>2353715</v>
      </c>
      <c r="AC5" s="13">
        <f>AB5/AA5</f>
        <v>43.933084461035932</v>
      </c>
      <c r="AD5" s="14">
        <f>AC5*3.30578512</f>
        <v>145.2333368869958</v>
      </c>
      <c r="AE5" s="11">
        <v>40073</v>
      </c>
      <c r="AF5" s="12">
        <v>2134117</v>
      </c>
      <c r="AG5" s="13">
        <f>AF5/AE5</f>
        <v>53.255733286751678</v>
      </c>
      <c r="AH5" s="14">
        <f>AG5*3.30578512</f>
        <v>176.05201065403239</v>
      </c>
      <c r="AI5" s="11">
        <v>39643</v>
      </c>
      <c r="AJ5" s="12">
        <v>2271769</v>
      </c>
      <c r="AK5" s="13">
        <f>AJ5/AI5</f>
        <v>57.305678177736297</v>
      </c>
      <c r="AL5" s="14">
        <f>AK5*3.30578512</f>
        <v>189.44025821146937</v>
      </c>
      <c r="AM5" s="11">
        <v>20929</v>
      </c>
      <c r="AN5" s="12">
        <v>1282400</v>
      </c>
      <c r="AO5" s="13">
        <f>AN5/AM5</f>
        <v>61.273830570022454</v>
      </c>
      <c r="AP5" s="14">
        <f>AO5*3.30578512</f>
        <v>202.55811734378133</v>
      </c>
      <c r="AQ5" s="11">
        <v>35108</v>
      </c>
      <c r="AR5" s="12">
        <v>1791375</v>
      </c>
      <c r="AS5" s="13">
        <f>AR5/AQ5</f>
        <v>51.024695226159281</v>
      </c>
      <c r="AT5" s="14">
        <f>AS5*3.30578512</f>
        <v>168.67667823117239</v>
      </c>
      <c r="AU5" s="11">
        <v>21870</v>
      </c>
      <c r="AV5" s="12">
        <v>1267345</v>
      </c>
      <c r="AW5" s="13">
        <f>AV5/AU5</f>
        <v>57.949016918152722</v>
      </c>
      <c r="AX5" s="14">
        <f>AW5*3.30578512</f>
        <v>191.56699784665753</v>
      </c>
      <c r="AY5" s="11">
        <v>76901</v>
      </c>
      <c r="AZ5" s="12">
        <v>5281615</v>
      </c>
      <c r="BA5" s="13">
        <f>AZ5/AY5</f>
        <v>68.680706362726099</v>
      </c>
      <c r="BB5" s="14">
        <f>BA5*3.30578512</f>
        <v>227.04365712498927</v>
      </c>
      <c r="BC5" s="11">
        <v>76113</v>
      </c>
      <c r="BD5" s="12">
        <v>4479190.7903500004</v>
      </c>
      <c r="BE5" s="13">
        <f>BD5/BC5</f>
        <v>58.849221425380691</v>
      </c>
      <c r="BF5" s="14">
        <f>BE5*3.30578512</f>
        <v>194.54288051160867</v>
      </c>
      <c r="BG5" s="11">
        <v>47106</v>
      </c>
      <c r="BH5" s="12">
        <v>1677680.3635</v>
      </c>
      <c r="BI5" s="13">
        <f>BH5/BG5</f>
        <v>35.615003683182607</v>
      </c>
      <c r="BJ5" s="14">
        <f>BI5*3.30578512</f>
        <v>117.73554922461025</v>
      </c>
    </row>
    <row r="6" spans="1:62">
      <c r="B6" s="2" t="s">
        <v>1</v>
      </c>
      <c r="C6" s="11">
        <v>72357</v>
      </c>
      <c r="D6" s="12">
        <v>1758084</v>
      </c>
      <c r="E6" s="13">
        <f t="shared" ref="E6:E11" si="0">D6/C6</f>
        <v>24.297358928645465</v>
      </c>
      <c r="F6" s="14">
        <f t="shared" ref="F6:F11" si="1">E6*3.30578512</f>
        <v>80.321847601615318</v>
      </c>
      <c r="G6" s="11">
        <v>27939</v>
      </c>
      <c r="H6" s="12">
        <v>779947</v>
      </c>
      <c r="I6" s="13">
        <f t="shared" ref="I6:I11" si="2">H6/G6</f>
        <v>27.916067146282973</v>
      </c>
      <c r="J6" s="14">
        <f t="shared" ref="J6:J11" si="3">I6*3.30578512</f>
        <v>92.284519381103109</v>
      </c>
      <c r="K6" s="11">
        <v>23904</v>
      </c>
      <c r="L6" s="12">
        <v>951091</v>
      </c>
      <c r="M6" s="13">
        <f t="shared" ref="M6:M11" si="4">L6/K6</f>
        <v>39.787943440428378</v>
      </c>
      <c r="N6" s="14">
        <f t="shared" ref="N6:N11" si="5">M6*3.30578512</f>
        <v>131.53039138076974</v>
      </c>
      <c r="O6" s="11">
        <v>10431</v>
      </c>
      <c r="P6" s="12">
        <v>262239</v>
      </c>
      <c r="Q6" s="13">
        <f t="shared" ref="Q6:Q11" si="6">P6/O6</f>
        <v>25.140350877192983</v>
      </c>
      <c r="R6" s="14">
        <f t="shared" ref="R6:R11" si="7">Q6*3.30578512</f>
        <v>83.108597841403508</v>
      </c>
      <c r="S6" s="11">
        <v>1536</v>
      </c>
      <c r="T6" s="12">
        <v>47894</v>
      </c>
      <c r="U6" s="13">
        <f t="shared" ref="U6:U11" si="8">T6/S6</f>
        <v>31.180989583333332</v>
      </c>
      <c r="V6" s="14">
        <f t="shared" ref="V6:V11" si="9">U6*3.30578512</f>
        <v>103.07765139145833</v>
      </c>
      <c r="W6" s="11">
        <v>6306</v>
      </c>
      <c r="X6" s="12">
        <v>215418</v>
      </c>
      <c r="Y6" s="13">
        <f t="shared" ref="Y6:Y11" si="10">X6/W6</f>
        <v>34.160799238820168</v>
      </c>
      <c r="Z6" s="14">
        <f t="shared" ref="Z6:Z11" si="11">Y6*3.30578512</f>
        <v>112.92826181099903</v>
      </c>
      <c r="AA6" s="11">
        <v>5822</v>
      </c>
      <c r="AB6" s="12">
        <v>179220</v>
      </c>
      <c r="AC6" s="13">
        <f t="shared" ref="AC6:AC11" si="12">AB6/AA6</f>
        <v>30.7832360013741</v>
      </c>
      <c r="AD6" s="14">
        <f t="shared" ref="AD6:AD11" si="13">AC6*3.30578512</f>
        <v>101.76276351879079</v>
      </c>
      <c r="AE6" s="11">
        <v>8806</v>
      </c>
      <c r="AF6" s="12">
        <v>377134</v>
      </c>
      <c r="AG6" s="13">
        <f t="shared" ref="AG6:AG11" si="14">AF6/AE6</f>
        <v>42.826936179877357</v>
      </c>
      <c r="AH6" s="14">
        <f t="shared" ref="AH6:AH11" si="15">AG6*3.30578512</f>
        <v>141.5766483586282</v>
      </c>
      <c r="AI6" s="11">
        <v>1430</v>
      </c>
      <c r="AJ6" s="12">
        <v>71400</v>
      </c>
      <c r="AK6" s="13">
        <f t="shared" ref="AK6:AK11" si="16">AJ6/AI6</f>
        <v>49.930069930069934</v>
      </c>
      <c r="AL6" s="14">
        <f t="shared" ref="AL6:AL11" si="17">AK6*3.30578512</f>
        <v>165.05808221538462</v>
      </c>
      <c r="AM6" s="11">
        <v>5235</v>
      </c>
      <c r="AN6" s="12">
        <v>321235</v>
      </c>
      <c r="AO6" s="13">
        <f t="shared" ref="AO6:AO11" si="18">AN6/AM6</f>
        <v>61.362941738299902</v>
      </c>
      <c r="AP6" s="14">
        <f t="shared" ref="AP6:AP11" si="19">AO6*3.30578512</f>
        <v>202.85269971789876</v>
      </c>
      <c r="AQ6" s="11">
        <v>32529</v>
      </c>
      <c r="AR6" s="12">
        <v>864522</v>
      </c>
      <c r="AS6" s="13">
        <f t="shared" ref="AS6:AS11" si="20">AR6/AQ6</f>
        <v>26.576962095361061</v>
      </c>
      <c r="AT6" s="14">
        <f t="shared" ref="AT6:AT11" si="21">AS6*3.30578512</f>
        <v>87.857725829648615</v>
      </c>
      <c r="AU6" s="11">
        <v>1537</v>
      </c>
      <c r="AV6" s="12">
        <v>157000</v>
      </c>
      <c r="AW6" s="13">
        <f t="shared" ref="AW6:AW11" si="22">AV6/AU6</f>
        <v>102.14703968770331</v>
      </c>
      <c r="AX6" s="14">
        <f t="shared" ref="AX6:AX11" si="23">AW6*3.30578512</f>
        <v>337.67616385165906</v>
      </c>
      <c r="AY6" s="11">
        <v>4645</v>
      </c>
      <c r="AZ6" s="12">
        <v>250910</v>
      </c>
      <c r="BA6" s="13">
        <f t="shared" ref="BA6:BA11" si="24">AZ6/AY6</f>
        <v>54.01722282023681</v>
      </c>
      <c r="BB6" s="14">
        <f t="shared" ref="BB6:BB11" si="25">BA6*3.30578512</f>
        <v>178.56933142286329</v>
      </c>
      <c r="BC6" s="11">
        <v>7686</v>
      </c>
      <c r="BD6" s="12">
        <v>363662.17517</v>
      </c>
      <c r="BE6" s="13">
        <f t="shared" ref="BE6:BE11" si="26">BD6/BC6</f>
        <v>47.31488097449909</v>
      </c>
      <c r="BF6" s="14">
        <f t="shared" ref="BF6:BF11" si="27">BE6*3.30578512</f>
        <v>156.4128294800702</v>
      </c>
      <c r="BG6" s="11">
        <v>12462</v>
      </c>
      <c r="BH6" s="12">
        <v>685329.04634</v>
      </c>
      <c r="BI6" s="13">
        <f t="shared" ref="BI6:BI11" si="28">BH6/BG6</f>
        <v>54.993503959236079</v>
      </c>
      <c r="BJ6" s="14">
        <f t="shared" ref="BJ6:BJ11" si="29">BI6*3.30578512</f>
        <v>181.79670708510372</v>
      </c>
    </row>
    <row r="7" spans="1:62">
      <c r="B7" s="2" t="s">
        <v>2</v>
      </c>
      <c r="C7" s="11">
        <v>229990</v>
      </c>
      <c r="D7" s="12">
        <v>5185075</v>
      </c>
      <c r="E7" s="13">
        <f t="shared" si="0"/>
        <v>22.544784555850253</v>
      </c>
      <c r="F7" s="14">
        <f t="shared" si="1"/>
        <v>74.528213318335574</v>
      </c>
      <c r="G7" s="11">
        <v>10490</v>
      </c>
      <c r="H7" s="12">
        <v>93064</v>
      </c>
      <c r="I7" s="13">
        <f t="shared" si="2"/>
        <v>8.8716873212583405</v>
      </c>
      <c r="J7" s="14">
        <f t="shared" si="3"/>
        <v>29.327891935908482</v>
      </c>
      <c r="K7" s="11">
        <v>24994</v>
      </c>
      <c r="L7" s="12">
        <v>485825</v>
      </c>
      <c r="M7" s="13">
        <f t="shared" si="4"/>
        <v>19.437665039609506</v>
      </c>
      <c r="N7" s="14">
        <f t="shared" si="5"/>
        <v>64.256743855485311</v>
      </c>
      <c r="O7" s="11">
        <v>22450</v>
      </c>
      <c r="P7" s="12">
        <v>1435629</v>
      </c>
      <c r="Q7" s="13">
        <f t="shared" si="6"/>
        <v>63.947839643652564</v>
      </c>
      <c r="R7" s="14">
        <f t="shared" si="7"/>
        <v>211.39781675013273</v>
      </c>
      <c r="S7" s="11">
        <v>8420</v>
      </c>
      <c r="T7" s="12">
        <v>176370</v>
      </c>
      <c r="U7" s="13">
        <f t="shared" si="8"/>
        <v>20.946555819477435</v>
      </c>
      <c r="V7" s="14">
        <f t="shared" si="9"/>
        <v>69.244812543277916</v>
      </c>
      <c r="W7" s="11">
        <v>107226</v>
      </c>
      <c r="X7" s="12">
        <v>2452202</v>
      </c>
      <c r="Y7" s="13">
        <f t="shared" si="10"/>
        <v>22.869471956428477</v>
      </c>
      <c r="Z7" s="14">
        <f t="shared" si="11"/>
        <v>75.601560095818542</v>
      </c>
      <c r="AA7" s="11">
        <v>14417</v>
      </c>
      <c r="AB7" s="12">
        <v>952900</v>
      </c>
      <c r="AC7" s="13">
        <f t="shared" si="12"/>
        <v>66.095581605049588</v>
      </c>
      <c r="AD7" s="14">
        <f t="shared" si="13"/>
        <v>218.49779016771865</v>
      </c>
      <c r="AE7" s="11">
        <v>1056</v>
      </c>
      <c r="AF7" s="12">
        <v>63500</v>
      </c>
      <c r="AG7" s="13">
        <f t="shared" si="14"/>
        <v>60.132575757575758</v>
      </c>
      <c r="AH7" s="14">
        <f t="shared" si="15"/>
        <v>198.78537416666666</v>
      </c>
      <c r="AI7" s="11">
        <v>380</v>
      </c>
      <c r="AJ7" s="12">
        <v>57440</v>
      </c>
      <c r="AK7" s="13">
        <f t="shared" si="16"/>
        <v>151.15789473684211</v>
      </c>
      <c r="AL7" s="14">
        <f t="shared" si="17"/>
        <v>499.69551919157897</v>
      </c>
      <c r="AM7" s="11">
        <v>4600</v>
      </c>
      <c r="AN7" s="12">
        <v>115328</v>
      </c>
      <c r="AO7" s="13">
        <f t="shared" si="18"/>
        <v>25.071304347826086</v>
      </c>
      <c r="AP7" s="14">
        <f t="shared" si="19"/>
        <v>82.880344852034781</v>
      </c>
      <c r="AQ7" s="11">
        <v>6481</v>
      </c>
      <c r="AR7" s="12">
        <v>245050</v>
      </c>
      <c r="AS7" s="13">
        <f t="shared" si="20"/>
        <v>37.810523067427866</v>
      </c>
      <c r="AT7" s="14">
        <f t="shared" si="21"/>
        <v>124.9934645357198</v>
      </c>
      <c r="AU7" s="11">
        <v>75089</v>
      </c>
      <c r="AV7" s="12">
        <v>2969080</v>
      </c>
      <c r="AW7" s="13">
        <f t="shared" si="22"/>
        <v>39.540811570269945</v>
      </c>
      <c r="AX7" s="14">
        <f t="shared" si="23"/>
        <v>130.71342652172223</v>
      </c>
      <c r="AY7" s="11">
        <v>7039</v>
      </c>
      <c r="AZ7" s="12">
        <v>190150</v>
      </c>
      <c r="BA7" s="13">
        <f t="shared" si="24"/>
        <v>27.013780366529335</v>
      </c>
      <c r="BB7" s="14">
        <f t="shared" si="25"/>
        <v>89.301753170620827</v>
      </c>
      <c r="BC7" s="11">
        <v>11647</v>
      </c>
      <c r="BD7" s="12">
        <v>985376</v>
      </c>
      <c r="BE7" s="13">
        <f t="shared" si="26"/>
        <v>84.603417188975698</v>
      </c>
      <c r="BF7" s="14">
        <f t="shared" si="27"/>
        <v>279.68071764446807</v>
      </c>
      <c r="BG7" s="11">
        <v>6591</v>
      </c>
      <c r="BH7" s="12">
        <v>594050</v>
      </c>
      <c r="BI7" s="13">
        <f t="shared" si="28"/>
        <v>90.130480958883325</v>
      </c>
      <c r="BJ7" s="14">
        <f t="shared" si="29"/>
        <v>297.95200281231985</v>
      </c>
    </row>
    <row r="8" spans="1:62">
      <c r="B8" s="2" t="s">
        <v>3</v>
      </c>
      <c r="C8" s="11">
        <v>1031373</v>
      </c>
      <c r="D8" s="12">
        <v>13384389</v>
      </c>
      <c r="E8" s="13">
        <f t="shared" si="0"/>
        <v>12.977253622113436</v>
      </c>
      <c r="F8" s="14">
        <f t="shared" si="1"/>
        <v>42.900011922448698</v>
      </c>
      <c r="G8" s="11">
        <v>382289</v>
      </c>
      <c r="H8" s="12">
        <v>4603680</v>
      </c>
      <c r="I8" s="13">
        <f t="shared" si="2"/>
        <v>12.042407707258121</v>
      </c>
      <c r="J8" s="14">
        <f t="shared" si="3"/>
        <v>39.809612207627211</v>
      </c>
      <c r="K8" s="11">
        <v>273698</v>
      </c>
      <c r="L8" s="12">
        <v>2918396</v>
      </c>
      <c r="M8" s="13">
        <f t="shared" si="4"/>
        <v>10.662832757272614</v>
      </c>
      <c r="N8" s="14">
        <f t="shared" si="5"/>
        <v>35.249033866040378</v>
      </c>
      <c r="O8" s="11">
        <v>458673</v>
      </c>
      <c r="P8" s="12">
        <v>6841976</v>
      </c>
      <c r="Q8" s="13">
        <f t="shared" si="6"/>
        <v>14.916892862671228</v>
      </c>
      <c r="R8" s="14">
        <f t="shared" si="7"/>
        <v>49.312042462052744</v>
      </c>
      <c r="S8" s="11">
        <v>1171</v>
      </c>
      <c r="T8" s="12">
        <v>41750</v>
      </c>
      <c r="U8" s="13">
        <f t="shared" si="8"/>
        <v>35.653287788215202</v>
      </c>
      <c r="V8" s="14">
        <f t="shared" si="9"/>
        <v>117.86210824935952</v>
      </c>
      <c r="W8" s="11">
        <v>226910</v>
      </c>
      <c r="X8" s="12">
        <v>3484438</v>
      </c>
      <c r="Y8" s="13">
        <f t="shared" si="10"/>
        <v>15.35603543255035</v>
      </c>
      <c r="Z8" s="14">
        <f t="shared" si="11"/>
        <v>50.763753435117707</v>
      </c>
      <c r="AA8" s="11">
        <v>208410</v>
      </c>
      <c r="AB8" s="12">
        <v>2703090</v>
      </c>
      <c r="AC8" s="13">
        <f t="shared" si="12"/>
        <v>12.970059018281273</v>
      </c>
      <c r="AD8" s="14">
        <f t="shared" si="13"/>
        <v>42.876228108156035</v>
      </c>
      <c r="AE8" s="11">
        <v>565298</v>
      </c>
      <c r="AF8" s="12">
        <v>9002018</v>
      </c>
      <c r="AG8" s="13">
        <f t="shared" si="14"/>
        <v>15.924376169737023</v>
      </c>
      <c r="AH8" s="14">
        <f t="shared" si="15"/>
        <v>52.642565787199246</v>
      </c>
      <c r="AI8" s="11">
        <v>428385</v>
      </c>
      <c r="AJ8" s="12">
        <v>7280600</v>
      </c>
      <c r="AK8" s="13">
        <f t="shared" si="16"/>
        <v>16.995459691632526</v>
      </c>
      <c r="AL8" s="14">
        <f t="shared" si="17"/>
        <v>56.183337756158593</v>
      </c>
      <c r="AM8" s="11">
        <v>266570</v>
      </c>
      <c r="AN8" s="12">
        <v>6278887</v>
      </c>
      <c r="AO8" s="13">
        <f t="shared" si="18"/>
        <v>23.554364707206361</v>
      </c>
      <c r="AP8" s="14">
        <f t="shared" si="19"/>
        <v>77.865668360135942</v>
      </c>
      <c r="AQ8" s="11">
        <v>72900</v>
      </c>
      <c r="AR8" s="12">
        <v>1278061</v>
      </c>
      <c r="AS8" s="13">
        <f t="shared" si="20"/>
        <v>17.531700960219478</v>
      </c>
      <c r="AT8" s="14">
        <f t="shared" si="21"/>
        <v>57.95603616258326</v>
      </c>
      <c r="AU8" s="11">
        <v>67268</v>
      </c>
      <c r="AV8" s="12">
        <v>1471680</v>
      </c>
      <c r="AW8" s="13">
        <f t="shared" si="22"/>
        <v>21.877861687578047</v>
      </c>
      <c r="AX8" s="14">
        <f t="shared" si="23"/>
        <v>72.3235096242136</v>
      </c>
      <c r="AY8" s="11">
        <v>98948</v>
      </c>
      <c r="AZ8" s="12">
        <v>2231733</v>
      </c>
      <c r="BA8" s="13">
        <f t="shared" si="24"/>
        <v>22.554604438695073</v>
      </c>
      <c r="BB8" s="14">
        <f t="shared" si="25"/>
        <v>74.560675740924125</v>
      </c>
      <c r="BC8" s="11">
        <v>526019</v>
      </c>
      <c r="BD8" s="12">
        <v>10420454.381929999</v>
      </c>
      <c r="BE8" s="13">
        <f t="shared" si="26"/>
        <v>19.810034203954608</v>
      </c>
      <c r="BF8" s="14">
        <f t="shared" si="27"/>
        <v>65.487716298124184</v>
      </c>
      <c r="BG8" s="11">
        <v>701489</v>
      </c>
      <c r="BH8" s="12">
        <v>17963969.313189998</v>
      </c>
      <c r="BI8" s="13">
        <f t="shared" si="28"/>
        <v>25.608340705542066</v>
      </c>
      <c r="BJ8" s="14">
        <f t="shared" si="29"/>
        <v>84.655671652271266</v>
      </c>
    </row>
    <row r="9" spans="1:62">
      <c r="B9" s="2" t="s">
        <v>4</v>
      </c>
      <c r="C9" s="11">
        <v>1835193</v>
      </c>
      <c r="D9" s="12">
        <v>50330867</v>
      </c>
      <c r="E9" s="13">
        <f t="shared" si="0"/>
        <v>27.425380872747443</v>
      </c>
      <c r="F9" s="14">
        <f t="shared" si="1"/>
        <v>90.662415999461103</v>
      </c>
      <c r="G9" s="11">
        <v>51890</v>
      </c>
      <c r="H9" s="12">
        <v>1774216</v>
      </c>
      <c r="I9" s="13">
        <f t="shared" si="2"/>
        <v>34.191867411832725</v>
      </c>
      <c r="J9" s="14">
        <f t="shared" si="3"/>
        <v>113.03096651504953</v>
      </c>
      <c r="K9" s="11">
        <v>116271</v>
      </c>
      <c r="L9" s="12">
        <v>3203689</v>
      </c>
      <c r="M9" s="13">
        <f t="shared" si="4"/>
        <v>27.553637622450999</v>
      </c>
      <c r="N9" s="14">
        <f t="shared" si="5"/>
        <v>91.086405254170685</v>
      </c>
      <c r="O9" s="11">
        <v>173181</v>
      </c>
      <c r="P9" s="12">
        <v>6427432</v>
      </c>
      <c r="Q9" s="13">
        <f t="shared" si="6"/>
        <v>37.113955918951845</v>
      </c>
      <c r="R9" s="14">
        <f t="shared" si="7"/>
        <v>122.69076322120694</v>
      </c>
      <c r="S9" s="11">
        <v>88166</v>
      </c>
      <c r="T9" s="12">
        <v>2508835</v>
      </c>
      <c r="U9" s="13">
        <f t="shared" si="8"/>
        <v>28.455810629948054</v>
      </c>
      <c r="V9" s="14">
        <f t="shared" si="9"/>
        <v>94.068795358020097</v>
      </c>
      <c r="W9" s="11">
        <v>62683</v>
      </c>
      <c r="X9" s="12">
        <v>2232198</v>
      </c>
      <c r="Y9" s="13">
        <f t="shared" si="10"/>
        <v>35.610899286887992</v>
      </c>
      <c r="Z9" s="14">
        <f t="shared" si="11"/>
        <v>117.72198097241294</v>
      </c>
      <c r="AA9" s="11">
        <v>85769</v>
      </c>
      <c r="AB9" s="12">
        <v>3909924</v>
      </c>
      <c r="AC9" s="13">
        <f t="shared" si="12"/>
        <v>45.586680502279378</v>
      </c>
      <c r="AD9" s="14">
        <f t="shared" si="13"/>
        <v>150.6997700746293</v>
      </c>
      <c r="AE9" s="11">
        <v>90258</v>
      </c>
      <c r="AF9" s="12">
        <v>3745219</v>
      </c>
      <c r="AG9" s="13">
        <f t="shared" si="14"/>
        <v>41.494593277050235</v>
      </c>
      <c r="AH9" s="14">
        <f t="shared" si="15"/>
        <v>137.17220901572469</v>
      </c>
      <c r="AI9" s="11">
        <v>34086</v>
      </c>
      <c r="AJ9" s="12">
        <v>1288005</v>
      </c>
      <c r="AK9" s="13">
        <f t="shared" si="16"/>
        <v>37.786921316669599</v>
      </c>
      <c r="AL9" s="14">
        <f t="shared" si="17"/>
        <v>124.91544221925716</v>
      </c>
      <c r="AM9" s="11">
        <v>32190</v>
      </c>
      <c r="AN9" s="12">
        <v>1072003</v>
      </c>
      <c r="AO9" s="13">
        <f t="shared" si="18"/>
        <v>33.302360981671328</v>
      </c>
      <c r="AP9" s="14">
        <f t="shared" si="19"/>
        <v>110.09044939407767</v>
      </c>
      <c r="AQ9" s="11">
        <v>40077</v>
      </c>
      <c r="AR9" s="12">
        <v>1483873</v>
      </c>
      <c r="AS9" s="13">
        <f t="shared" si="20"/>
        <v>37.025550814681736</v>
      </c>
      <c r="AT9" s="14">
        <f t="shared" si="21"/>
        <v>122.39851494297876</v>
      </c>
      <c r="AU9" s="11">
        <v>78959</v>
      </c>
      <c r="AV9" s="12">
        <v>3358800</v>
      </c>
      <c r="AW9" s="13">
        <f t="shared" si="22"/>
        <v>42.538532656188657</v>
      </c>
      <c r="AX9" s="14">
        <f t="shared" si="23"/>
        <v>140.62324828146254</v>
      </c>
      <c r="AY9" s="11">
        <v>61695</v>
      </c>
      <c r="AZ9" s="12">
        <v>3184395</v>
      </c>
      <c r="BA9" s="13">
        <f t="shared" si="24"/>
        <v>51.615122781424752</v>
      </c>
      <c r="BB9" s="14">
        <f t="shared" si="25"/>
        <v>170.62850485780694</v>
      </c>
      <c r="BC9" s="11">
        <v>46855</v>
      </c>
      <c r="BD9" s="12">
        <v>2164665.5049899998</v>
      </c>
      <c r="BE9" s="13">
        <f t="shared" si="26"/>
        <v>46.19924244989862</v>
      </c>
      <c r="BF9" s="14">
        <f t="shared" si="27"/>
        <v>152.72476824614719</v>
      </c>
      <c r="BG9" s="11">
        <v>36837</v>
      </c>
      <c r="BH9" s="12">
        <v>1676479.0732199999</v>
      </c>
      <c r="BI9" s="13">
        <f t="shared" si="28"/>
        <v>45.510738475445883</v>
      </c>
      <c r="BJ9" s="14">
        <f t="shared" si="29"/>
        <v>150.44872205234049</v>
      </c>
    </row>
    <row r="10" spans="1:62">
      <c r="B10" s="2" t="s">
        <v>5</v>
      </c>
      <c r="C10" s="11">
        <v>1024242</v>
      </c>
      <c r="D10" s="12">
        <v>29249650</v>
      </c>
      <c r="E10" s="13">
        <f t="shared" si="0"/>
        <v>28.557362420209287</v>
      </c>
      <c r="F10" s="14">
        <f t="shared" si="1"/>
        <v>94.404503755175043</v>
      </c>
      <c r="G10" s="11">
        <v>37579</v>
      </c>
      <c r="H10" s="12">
        <v>1256192</v>
      </c>
      <c r="I10" s="13">
        <f t="shared" si="2"/>
        <v>33.428031613401103</v>
      </c>
      <c r="J10" s="14">
        <f t="shared" si="3"/>
        <v>110.50588949847095</v>
      </c>
      <c r="K10" s="11">
        <v>35646</v>
      </c>
      <c r="L10" s="12">
        <v>942009</v>
      </c>
      <c r="M10" s="13">
        <f t="shared" si="4"/>
        <v>26.426780003366435</v>
      </c>
      <c r="N10" s="14">
        <f t="shared" si="5"/>
        <v>87.361256104642308</v>
      </c>
      <c r="O10" s="11">
        <v>30421</v>
      </c>
      <c r="P10" s="12">
        <v>1316334</v>
      </c>
      <c r="Q10" s="13">
        <f t="shared" si="6"/>
        <v>43.270569672265871</v>
      </c>
      <c r="R10" s="14">
        <f t="shared" si="7"/>
        <v>143.04320535649978</v>
      </c>
      <c r="S10" s="11">
        <v>51002</v>
      </c>
      <c r="T10" s="12">
        <v>1899726</v>
      </c>
      <c r="U10" s="13">
        <f t="shared" si="8"/>
        <v>37.24806870318811</v>
      </c>
      <c r="V10" s="14">
        <f t="shared" si="9"/>
        <v>123.13411126773696</v>
      </c>
      <c r="W10" s="11">
        <v>53670</v>
      </c>
      <c r="X10" s="12">
        <v>2730012</v>
      </c>
      <c r="Y10" s="13">
        <f t="shared" si="10"/>
        <v>50.866629401900504</v>
      </c>
      <c r="Z10" s="14">
        <f t="shared" si="11"/>
        <v>168.15414658135717</v>
      </c>
      <c r="AA10" s="11">
        <v>131908</v>
      </c>
      <c r="AB10" s="12">
        <v>5493250</v>
      </c>
      <c r="AC10" s="13">
        <f t="shared" si="12"/>
        <v>41.644555296115477</v>
      </c>
      <c r="AD10" s="14">
        <f t="shared" si="13"/>
        <v>137.66795122691573</v>
      </c>
      <c r="AE10" s="11">
        <v>15684</v>
      </c>
      <c r="AF10" s="12">
        <v>747019</v>
      </c>
      <c r="AG10" s="13">
        <f t="shared" si="14"/>
        <v>47.629367508288702</v>
      </c>
      <c r="AH10" s="14">
        <f t="shared" si="15"/>
        <v>157.45245438391225</v>
      </c>
      <c r="AI10" s="11">
        <v>31814</v>
      </c>
      <c r="AJ10" s="12">
        <v>1390287</v>
      </c>
      <c r="AK10" s="13">
        <f t="shared" si="16"/>
        <v>43.700477777079271</v>
      </c>
      <c r="AL10" s="14">
        <f t="shared" si="17"/>
        <v>144.46438917235932</v>
      </c>
      <c r="AM10" s="11">
        <v>4911</v>
      </c>
      <c r="AN10" s="12">
        <v>252510</v>
      </c>
      <c r="AO10" s="13">
        <f t="shared" si="18"/>
        <v>51.417226634086745</v>
      </c>
      <c r="AP10" s="14">
        <f t="shared" si="19"/>
        <v>169.97430271863163</v>
      </c>
      <c r="AQ10" s="11">
        <v>33521</v>
      </c>
      <c r="AR10" s="12">
        <v>1394000</v>
      </c>
      <c r="AS10" s="13">
        <f t="shared" si="20"/>
        <v>41.585871543211717</v>
      </c>
      <c r="AT10" s="14">
        <f t="shared" si="21"/>
        <v>137.47395534978074</v>
      </c>
      <c r="AU10" s="11">
        <v>42760</v>
      </c>
      <c r="AV10" s="12">
        <v>2069660</v>
      </c>
      <c r="AW10" s="13">
        <f t="shared" si="22"/>
        <v>48.401777362020582</v>
      </c>
      <c r="AX10" s="14">
        <f t="shared" si="23"/>
        <v>160.0058753849205</v>
      </c>
      <c r="AY10" s="11">
        <v>56004</v>
      </c>
      <c r="AZ10" s="12">
        <v>1992480</v>
      </c>
      <c r="BA10" s="13">
        <f t="shared" si="24"/>
        <v>35.577458752946221</v>
      </c>
      <c r="BB10" s="14">
        <f t="shared" si="25"/>
        <v>117.61143375290337</v>
      </c>
      <c r="BC10" s="11">
        <v>16968</v>
      </c>
      <c r="BD10" s="12">
        <v>834225.11377000005</v>
      </c>
      <c r="BE10" s="13">
        <f t="shared" si="26"/>
        <v>49.164610665370112</v>
      </c>
      <c r="BF10" s="14">
        <f t="shared" si="27"/>
        <v>162.52763836817383</v>
      </c>
      <c r="BG10" s="11">
        <v>16780</v>
      </c>
      <c r="BH10" s="12">
        <v>973237.34144999995</v>
      </c>
      <c r="BI10" s="13">
        <f t="shared" si="28"/>
        <v>57.999841564362335</v>
      </c>
      <c r="BJ10" s="14">
        <f t="shared" si="29"/>
        <v>191.73501320582653</v>
      </c>
    </row>
    <row r="11" spans="1:62" ht="18.600000000000001" thickBot="1">
      <c r="B11" s="2" t="s">
        <v>6</v>
      </c>
      <c r="C11" s="15">
        <v>2863587</v>
      </c>
      <c r="D11" s="16">
        <v>79499077</v>
      </c>
      <c r="E11" s="17">
        <f t="shared" si="0"/>
        <v>27.762061009496133</v>
      </c>
      <c r="F11" s="18">
        <f t="shared" si="1"/>
        <v>91.775408185724487</v>
      </c>
      <c r="G11" s="15">
        <v>145387</v>
      </c>
      <c r="H11" s="16">
        <v>8433486</v>
      </c>
      <c r="I11" s="17">
        <f t="shared" si="2"/>
        <v>58.007153321823822</v>
      </c>
      <c r="J11" s="18">
        <f t="shared" si="3"/>
        <v>191.75918430484376</v>
      </c>
      <c r="K11" s="15">
        <v>139166</v>
      </c>
      <c r="L11" s="16">
        <v>4777887</v>
      </c>
      <c r="M11" s="17">
        <f t="shared" si="4"/>
        <v>34.332286621732322</v>
      </c>
      <c r="N11" s="18">
        <f t="shared" si="5"/>
        <v>113.49516224969777</v>
      </c>
      <c r="O11" s="15">
        <v>108312</v>
      </c>
      <c r="P11" s="16">
        <v>4182521</v>
      </c>
      <c r="Q11" s="17">
        <f t="shared" si="6"/>
        <v>38.615490435039519</v>
      </c>
      <c r="R11" s="18">
        <f t="shared" si="7"/>
        <v>127.65451368165597</v>
      </c>
      <c r="S11" s="15">
        <v>196902</v>
      </c>
      <c r="T11" s="16">
        <v>9093172</v>
      </c>
      <c r="U11" s="17">
        <f t="shared" si="8"/>
        <v>46.181206894800461</v>
      </c>
      <c r="V11" s="18">
        <f t="shared" si="9"/>
        <v>152.66514657647275</v>
      </c>
      <c r="W11" s="15">
        <v>124745</v>
      </c>
      <c r="X11" s="16">
        <v>5453712</v>
      </c>
      <c r="Y11" s="17">
        <f t="shared" si="10"/>
        <v>43.718882520341495</v>
      </c>
      <c r="Z11" s="18">
        <f t="shared" si="11"/>
        <v>144.52523129877301</v>
      </c>
      <c r="AA11" s="15">
        <v>162589</v>
      </c>
      <c r="AB11" s="16">
        <v>6832117</v>
      </c>
      <c r="AC11" s="17">
        <f t="shared" si="12"/>
        <v>42.020782463758309</v>
      </c>
      <c r="AD11" s="18">
        <f t="shared" si="13"/>
        <v>138.91167739944916</v>
      </c>
      <c r="AE11" s="15">
        <v>164354</v>
      </c>
      <c r="AF11" s="16">
        <v>8016236</v>
      </c>
      <c r="AG11" s="17">
        <f t="shared" si="14"/>
        <v>48.774206894873259</v>
      </c>
      <c r="AH11" s="18">
        <f t="shared" si="15"/>
        <v>161.23704739287342</v>
      </c>
      <c r="AI11" s="15">
        <v>155119</v>
      </c>
      <c r="AJ11" s="16">
        <v>6724494</v>
      </c>
      <c r="AK11" s="17">
        <f t="shared" si="16"/>
        <v>43.350550222732224</v>
      </c>
      <c r="AL11" s="18">
        <f t="shared" si="17"/>
        <v>143.30760387012086</v>
      </c>
      <c r="AM11" s="15">
        <v>157352</v>
      </c>
      <c r="AN11" s="16">
        <v>8032040</v>
      </c>
      <c r="AO11" s="17">
        <f t="shared" si="18"/>
        <v>51.045045503075904</v>
      </c>
      <c r="AP11" s="18">
        <f t="shared" si="19"/>
        <v>168.74395187379125</v>
      </c>
      <c r="AQ11" s="15">
        <v>148141</v>
      </c>
      <c r="AR11" s="16">
        <v>7330161</v>
      </c>
      <c r="AS11" s="17">
        <f t="shared" si="20"/>
        <v>49.480974207005488</v>
      </c>
      <c r="AT11" s="18">
        <f t="shared" si="21"/>
        <v>163.57346825662253</v>
      </c>
      <c r="AU11" s="15">
        <v>224207</v>
      </c>
      <c r="AV11" s="16">
        <v>13715335</v>
      </c>
      <c r="AW11" s="17">
        <f t="shared" si="22"/>
        <v>61.172644029847419</v>
      </c>
      <c r="AX11" s="18">
        <f t="shared" si="23"/>
        <v>202.22361638492643</v>
      </c>
      <c r="AY11" s="15">
        <v>129124</v>
      </c>
      <c r="AZ11" s="16">
        <v>6513811</v>
      </c>
      <c r="BA11" s="17">
        <f t="shared" si="24"/>
        <v>50.446168024534558</v>
      </c>
      <c r="BB11" s="18">
        <f t="shared" si="25"/>
        <v>166.76419161652612</v>
      </c>
      <c r="BC11" s="15">
        <v>123812</v>
      </c>
      <c r="BD11" s="16">
        <v>6408679.0338000003</v>
      </c>
      <c r="BE11" s="17">
        <f t="shared" si="26"/>
        <v>51.761372353245243</v>
      </c>
      <c r="BF11" s="18">
        <f t="shared" si="27"/>
        <v>171.11197451613751</v>
      </c>
      <c r="BG11" s="15">
        <v>149719</v>
      </c>
      <c r="BH11" s="16">
        <v>6668545.8623000002</v>
      </c>
      <c r="BI11" s="17">
        <f t="shared" si="28"/>
        <v>44.540411452788227</v>
      </c>
      <c r="BJ11" s="18">
        <f t="shared" si="29"/>
        <v>147.24102941930491</v>
      </c>
    </row>
    <row r="12" spans="1:62">
      <c r="BC12" s="3"/>
      <c r="BD12" s="3"/>
      <c r="BG12" s="3"/>
      <c r="BH12" s="3"/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A9E77-D35F-4B12-B8A0-C787278D69A9}">
  <dimension ref="A1:GL38"/>
  <sheetViews>
    <sheetView tabSelected="1" zoomScale="70" zoomScaleNormal="70" workbookViewId="0">
      <selection activeCell="FP34" sqref="FP34"/>
    </sheetView>
  </sheetViews>
  <sheetFormatPr defaultColWidth="8.69921875" defaultRowHeight="18"/>
  <cols>
    <col min="1" max="1" width="2.796875" style="2" customWidth="1"/>
    <col min="2" max="2" width="14.296875" style="2" bestFit="1" customWidth="1"/>
    <col min="3" max="196" width="11.59765625" style="2" customWidth="1"/>
    <col min="197" max="16384" width="8.69921875" style="2"/>
  </cols>
  <sheetData>
    <row r="1" spans="1:194" ht="19.8">
      <c r="A1" s="1" t="s">
        <v>14</v>
      </c>
    </row>
    <row r="2" spans="1:194" ht="20.399999999999999" thickBot="1">
      <c r="A2" s="1"/>
    </row>
    <row r="3" spans="1:194">
      <c r="C3" s="4" t="s">
        <v>45</v>
      </c>
      <c r="D3" s="5"/>
      <c r="E3" s="5"/>
      <c r="F3" s="6"/>
      <c r="G3" s="4" t="s">
        <v>107</v>
      </c>
      <c r="H3" s="5"/>
      <c r="I3" s="5"/>
      <c r="J3" s="6"/>
      <c r="K3" s="4" t="s">
        <v>27</v>
      </c>
      <c r="M3" s="5"/>
      <c r="N3" s="6"/>
      <c r="O3" s="4" t="s">
        <v>113</v>
      </c>
      <c r="Q3" s="5"/>
      <c r="R3" s="6"/>
      <c r="S3" s="4" t="s">
        <v>114</v>
      </c>
      <c r="T3" s="5"/>
      <c r="U3" s="5"/>
      <c r="V3" s="6"/>
      <c r="W3" s="4" t="s">
        <v>26</v>
      </c>
      <c r="Y3" s="5"/>
      <c r="Z3" s="6"/>
      <c r="AA3" s="4" t="s">
        <v>111</v>
      </c>
      <c r="AC3" s="5"/>
      <c r="AD3" s="6"/>
      <c r="AE3" s="4" t="s">
        <v>112</v>
      </c>
      <c r="AF3" s="5"/>
      <c r="AG3" s="5"/>
      <c r="AH3" s="6"/>
      <c r="AI3" s="4" t="s">
        <v>25</v>
      </c>
      <c r="AK3" s="5"/>
      <c r="AL3" s="6"/>
      <c r="AM3" s="4" t="s">
        <v>109</v>
      </c>
      <c r="AO3" s="5"/>
      <c r="AP3" s="6"/>
      <c r="AQ3" s="4" t="s">
        <v>110</v>
      </c>
      <c r="AR3" s="5"/>
      <c r="AS3" s="5"/>
      <c r="AT3" s="6"/>
      <c r="AU3" s="4" t="s">
        <v>24</v>
      </c>
      <c r="AW3" s="5"/>
      <c r="AX3" s="6"/>
      <c r="AY3" s="4" t="s">
        <v>108</v>
      </c>
      <c r="AZ3" s="5"/>
      <c r="BA3" s="5"/>
      <c r="BB3" s="6"/>
      <c r="BC3" s="4" t="s">
        <v>75</v>
      </c>
      <c r="BD3" s="5"/>
      <c r="BE3" s="5"/>
      <c r="BF3" s="6"/>
      <c r="BG3" s="4" t="s">
        <v>23</v>
      </c>
      <c r="BI3" s="5"/>
      <c r="BJ3" s="6"/>
      <c r="BK3" s="4" t="s">
        <v>79</v>
      </c>
      <c r="BM3" s="5"/>
      <c r="BN3" s="6"/>
      <c r="BO3" s="4" t="s">
        <v>80</v>
      </c>
      <c r="BP3" s="5"/>
      <c r="BQ3" s="5"/>
      <c r="BR3" s="6"/>
      <c r="BS3" s="4" t="s">
        <v>22</v>
      </c>
      <c r="BU3" s="5"/>
      <c r="BV3" s="6"/>
      <c r="BW3" s="4" t="s">
        <v>81</v>
      </c>
      <c r="BY3" s="5"/>
      <c r="BZ3" s="6"/>
      <c r="CA3" s="4" t="s">
        <v>82</v>
      </c>
      <c r="CB3" s="5"/>
      <c r="CC3" s="5"/>
      <c r="CD3" s="6"/>
      <c r="CE3" s="4" t="s">
        <v>21</v>
      </c>
      <c r="CG3" s="5"/>
      <c r="CH3" s="6"/>
      <c r="CI3" s="4" t="s">
        <v>77</v>
      </c>
      <c r="CK3" s="5"/>
      <c r="CL3" s="6"/>
      <c r="CM3" s="4" t="s">
        <v>78</v>
      </c>
      <c r="CN3" s="5"/>
      <c r="CO3" s="5"/>
      <c r="CP3" s="6"/>
      <c r="CQ3" s="4" t="s">
        <v>20</v>
      </c>
      <c r="CS3" s="5"/>
      <c r="CT3" s="6"/>
      <c r="CU3" s="4" t="s">
        <v>76</v>
      </c>
      <c r="CV3" s="5"/>
      <c r="CW3" s="5"/>
      <c r="CX3" s="6"/>
      <c r="CY3" s="4" t="s">
        <v>59</v>
      </c>
      <c r="CZ3" s="5"/>
      <c r="DA3" s="5"/>
      <c r="DB3" s="6"/>
      <c r="DC3" s="4" t="s">
        <v>19</v>
      </c>
      <c r="DE3" s="5"/>
      <c r="DF3" s="6"/>
      <c r="DG3" s="4" t="s">
        <v>60</v>
      </c>
      <c r="DI3" s="5"/>
      <c r="DJ3" s="6"/>
      <c r="DK3" s="4" t="s">
        <v>61</v>
      </c>
      <c r="DL3" s="5"/>
      <c r="DM3" s="5"/>
      <c r="DN3" s="6"/>
      <c r="DO3" s="4" t="s">
        <v>18</v>
      </c>
      <c r="DQ3" s="5"/>
      <c r="DR3" s="6"/>
      <c r="DS3" s="4" t="s">
        <v>62</v>
      </c>
      <c r="DU3" s="5"/>
      <c r="DV3" s="6"/>
      <c r="DW3" s="4" t="s">
        <v>63</v>
      </c>
      <c r="DX3" s="5"/>
      <c r="DY3" s="5"/>
      <c r="DZ3" s="6"/>
      <c r="EA3" s="4" t="s">
        <v>17</v>
      </c>
      <c r="EC3" s="5"/>
      <c r="ED3" s="6"/>
      <c r="EE3" s="4" t="s">
        <v>57</v>
      </c>
      <c r="EG3" s="5"/>
      <c r="EH3" s="6"/>
      <c r="EI3" s="4" t="s">
        <v>58</v>
      </c>
      <c r="EJ3" s="5"/>
      <c r="EK3" s="5"/>
      <c r="EL3" s="6"/>
      <c r="EM3" s="4" t="s">
        <v>16</v>
      </c>
      <c r="EN3" s="5"/>
      <c r="EO3" s="5"/>
      <c r="EP3" s="6"/>
      <c r="EQ3" s="4" t="s">
        <v>56</v>
      </c>
      <c r="ER3" s="5"/>
      <c r="ES3" s="5"/>
      <c r="ET3" s="6"/>
      <c r="EU3" s="4" t="s">
        <v>52</v>
      </c>
      <c r="EV3" s="5"/>
      <c r="EW3" s="5"/>
      <c r="EX3" s="6"/>
      <c r="EY3" s="4" t="s">
        <v>15</v>
      </c>
      <c r="EZ3" s="5"/>
      <c r="FA3" s="5"/>
      <c r="FB3" s="6"/>
      <c r="FC3" s="4" t="s">
        <v>51</v>
      </c>
      <c r="FD3" s="5"/>
      <c r="FE3" s="5"/>
      <c r="FF3" s="6"/>
      <c r="FG3" s="4" t="s">
        <v>50</v>
      </c>
      <c r="FH3" s="5"/>
      <c r="FI3" s="5"/>
      <c r="FJ3" s="6"/>
      <c r="FK3" s="4" t="s">
        <v>12</v>
      </c>
      <c r="FL3" s="5"/>
      <c r="FM3" s="5"/>
      <c r="FN3" s="6"/>
      <c r="FO3" s="4" t="s">
        <v>119</v>
      </c>
      <c r="FP3" s="5"/>
      <c r="FQ3" s="5"/>
      <c r="FR3" s="6"/>
      <c r="FS3" s="4" t="s">
        <v>120</v>
      </c>
      <c r="FT3" s="5"/>
      <c r="FU3" s="5"/>
      <c r="FV3" s="6"/>
      <c r="FW3" s="4" t="s">
        <v>121</v>
      </c>
      <c r="FX3" s="5"/>
      <c r="FY3" s="5"/>
      <c r="FZ3" s="6"/>
    </row>
    <row r="4" spans="1:194" ht="45" customHeight="1">
      <c r="C4" s="7" t="s">
        <v>7</v>
      </c>
      <c r="D4" s="8" t="s">
        <v>8</v>
      </c>
      <c r="E4" s="9" t="s">
        <v>10</v>
      </c>
      <c r="F4" s="10" t="s">
        <v>11</v>
      </c>
      <c r="G4" s="7" t="s">
        <v>7</v>
      </c>
      <c r="H4" s="8" t="s">
        <v>8</v>
      </c>
      <c r="I4" s="9" t="s">
        <v>10</v>
      </c>
      <c r="J4" s="10" t="s">
        <v>11</v>
      </c>
      <c r="K4" s="7" t="s">
        <v>7</v>
      </c>
      <c r="L4" s="8" t="s">
        <v>8</v>
      </c>
      <c r="M4" s="9" t="s">
        <v>10</v>
      </c>
      <c r="N4" s="10" t="s">
        <v>11</v>
      </c>
      <c r="O4" s="7" t="s">
        <v>7</v>
      </c>
      <c r="P4" s="8" t="s">
        <v>8</v>
      </c>
      <c r="Q4" s="9" t="s">
        <v>10</v>
      </c>
      <c r="R4" s="10" t="s">
        <v>11</v>
      </c>
      <c r="S4" s="7" t="s">
        <v>7</v>
      </c>
      <c r="T4" s="8" t="s">
        <v>8</v>
      </c>
      <c r="U4" s="9" t="s">
        <v>10</v>
      </c>
      <c r="V4" s="10" t="s">
        <v>11</v>
      </c>
      <c r="W4" s="7" t="s">
        <v>7</v>
      </c>
      <c r="X4" s="8" t="s">
        <v>8</v>
      </c>
      <c r="Y4" s="9" t="s">
        <v>10</v>
      </c>
      <c r="Z4" s="10" t="s">
        <v>11</v>
      </c>
      <c r="AA4" s="7" t="s">
        <v>7</v>
      </c>
      <c r="AB4" s="8" t="s">
        <v>8</v>
      </c>
      <c r="AC4" s="9" t="s">
        <v>10</v>
      </c>
      <c r="AD4" s="10" t="s">
        <v>11</v>
      </c>
      <c r="AE4" s="7" t="s">
        <v>7</v>
      </c>
      <c r="AF4" s="8" t="s">
        <v>8</v>
      </c>
      <c r="AG4" s="9" t="s">
        <v>10</v>
      </c>
      <c r="AH4" s="10" t="s">
        <v>11</v>
      </c>
      <c r="AI4" s="7" t="s">
        <v>7</v>
      </c>
      <c r="AJ4" s="8" t="s">
        <v>8</v>
      </c>
      <c r="AK4" s="9" t="s">
        <v>10</v>
      </c>
      <c r="AL4" s="10" t="s">
        <v>11</v>
      </c>
      <c r="AM4" s="7" t="s">
        <v>7</v>
      </c>
      <c r="AN4" s="8" t="s">
        <v>8</v>
      </c>
      <c r="AO4" s="9" t="s">
        <v>10</v>
      </c>
      <c r="AP4" s="10" t="s">
        <v>11</v>
      </c>
      <c r="AQ4" s="7" t="s">
        <v>7</v>
      </c>
      <c r="AR4" s="8" t="s">
        <v>8</v>
      </c>
      <c r="AS4" s="9" t="s">
        <v>10</v>
      </c>
      <c r="AT4" s="10" t="s">
        <v>11</v>
      </c>
      <c r="AU4" s="7" t="s">
        <v>7</v>
      </c>
      <c r="AV4" s="8" t="s">
        <v>8</v>
      </c>
      <c r="AW4" s="9" t="s">
        <v>10</v>
      </c>
      <c r="AX4" s="10" t="s">
        <v>11</v>
      </c>
      <c r="AY4" s="7" t="s">
        <v>7</v>
      </c>
      <c r="AZ4" s="8" t="s">
        <v>8</v>
      </c>
      <c r="BA4" s="9" t="s">
        <v>10</v>
      </c>
      <c r="BB4" s="10" t="s">
        <v>11</v>
      </c>
      <c r="BC4" s="7" t="s">
        <v>7</v>
      </c>
      <c r="BD4" s="8" t="s">
        <v>8</v>
      </c>
      <c r="BE4" s="9" t="s">
        <v>10</v>
      </c>
      <c r="BF4" s="10" t="s">
        <v>11</v>
      </c>
      <c r="BG4" s="7" t="s">
        <v>7</v>
      </c>
      <c r="BH4" s="8" t="s">
        <v>8</v>
      </c>
      <c r="BI4" s="9" t="s">
        <v>10</v>
      </c>
      <c r="BJ4" s="10" t="s">
        <v>11</v>
      </c>
      <c r="BK4" s="7" t="s">
        <v>7</v>
      </c>
      <c r="BL4" s="8" t="s">
        <v>8</v>
      </c>
      <c r="BM4" s="9" t="s">
        <v>10</v>
      </c>
      <c r="BN4" s="10" t="s">
        <v>11</v>
      </c>
      <c r="BO4" s="7" t="s">
        <v>7</v>
      </c>
      <c r="BP4" s="8" t="s">
        <v>8</v>
      </c>
      <c r="BQ4" s="9" t="s">
        <v>10</v>
      </c>
      <c r="BR4" s="10" t="s">
        <v>11</v>
      </c>
      <c r="BS4" s="7" t="s">
        <v>7</v>
      </c>
      <c r="BT4" s="8" t="s">
        <v>8</v>
      </c>
      <c r="BU4" s="9" t="s">
        <v>10</v>
      </c>
      <c r="BV4" s="10" t="s">
        <v>11</v>
      </c>
      <c r="BW4" s="7" t="s">
        <v>7</v>
      </c>
      <c r="BX4" s="8" t="s">
        <v>8</v>
      </c>
      <c r="BY4" s="9" t="s">
        <v>10</v>
      </c>
      <c r="BZ4" s="10" t="s">
        <v>11</v>
      </c>
      <c r="CA4" s="7" t="s">
        <v>7</v>
      </c>
      <c r="CB4" s="8" t="s">
        <v>8</v>
      </c>
      <c r="CC4" s="9" t="s">
        <v>10</v>
      </c>
      <c r="CD4" s="10" t="s">
        <v>11</v>
      </c>
      <c r="CE4" s="7" t="s">
        <v>7</v>
      </c>
      <c r="CF4" s="8" t="s">
        <v>8</v>
      </c>
      <c r="CG4" s="9" t="s">
        <v>10</v>
      </c>
      <c r="CH4" s="10" t="s">
        <v>11</v>
      </c>
      <c r="CI4" s="7" t="s">
        <v>7</v>
      </c>
      <c r="CJ4" s="8" t="s">
        <v>8</v>
      </c>
      <c r="CK4" s="9" t="s">
        <v>10</v>
      </c>
      <c r="CL4" s="10" t="s">
        <v>11</v>
      </c>
      <c r="CM4" s="7" t="s">
        <v>7</v>
      </c>
      <c r="CN4" s="8" t="s">
        <v>8</v>
      </c>
      <c r="CO4" s="9" t="s">
        <v>10</v>
      </c>
      <c r="CP4" s="10" t="s">
        <v>11</v>
      </c>
      <c r="CQ4" s="7" t="s">
        <v>7</v>
      </c>
      <c r="CR4" s="8" t="s">
        <v>8</v>
      </c>
      <c r="CS4" s="9" t="s">
        <v>10</v>
      </c>
      <c r="CT4" s="10" t="s">
        <v>11</v>
      </c>
      <c r="CU4" s="7" t="s">
        <v>7</v>
      </c>
      <c r="CV4" s="8" t="s">
        <v>8</v>
      </c>
      <c r="CW4" s="9" t="s">
        <v>10</v>
      </c>
      <c r="CX4" s="10" t="s">
        <v>11</v>
      </c>
      <c r="CY4" s="7" t="s">
        <v>7</v>
      </c>
      <c r="CZ4" s="8" t="s">
        <v>8</v>
      </c>
      <c r="DA4" s="9" t="s">
        <v>10</v>
      </c>
      <c r="DB4" s="10" t="s">
        <v>11</v>
      </c>
      <c r="DC4" s="7" t="s">
        <v>7</v>
      </c>
      <c r="DD4" s="8" t="s">
        <v>8</v>
      </c>
      <c r="DE4" s="9" t="s">
        <v>10</v>
      </c>
      <c r="DF4" s="10" t="s">
        <v>11</v>
      </c>
      <c r="DG4" s="7" t="s">
        <v>7</v>
      </c>
      <c r="DH4" s="8" t="s">
        <v>8</v>
      </c>
      <c r="DI4" s="9" t="s">
        <v>10</v>
      </c>
      <c r="DJ4" s="10" t="s">
        <v>11</v>
      </c>
      <c r="DK4" s="7" t="s">
        <v>7</v>
      </c>
      <c r="DL4" s="8" t="s">
        <v>8</v>
      </c>
      <c r="DM4" s="9" t="s">
        <v>10</v>
      </c>
      <c r="DN4" s="10" t="s">
        <v>11</v>
      </c>
      <c r="DO4" s="7" t="s">
        <v>7</v>
      </c>
      <c r="DP4" s="8" t="s">
        <v>8</v>
      </c>
      <c r="DQ4" s="9" t="s">
        <v>10</v>
      </c>
      <c r="DR4" s="10" t="s">
        <v>11</v>
      </c>
      <c r="DS4" s="7" t="s">
        <v>7</v>
      </c>
      <c r="DT4" s="8" t="s">
        <v>8</v>
      </c>
      <c r="DU4" s="9" t="s">
        <v>10</v>
      </c>
      <c r="DV4" s="10" t="s">
        <v>11</v>
      </c>
      <c r="DW4" s="7" t="s">
        <v>7</v>
      </c>
      <c r="DX4" s="8" t="s">
        <v>8</v>
      </c>
      <c r="DY4" s="9" t="s">
        <v>10</v>
      </c>
      <c r="DZ4" s="10" t="s">
        <v>11</v>
      </c>
      <c r="EA4" s="7" t="s">
        <v>7</v>
      </c>
      <c r="EB4" s="8" t="s">
        <v>8</v>
      </c>
      <c r="EC4" s="9" t="s">
        <v>10</v>
      </c>
      <c r="ED4" s="10" t="s">
        <v>11</v>
      </c>
      <c r="EE4" s="7" t="s">
        <v>7</v>
      </c>
      <c r="EF4" s="8" t="s">
        <v>8</v>
      </c>
      <c r="EG4" s="9" t="s">
        <v>10</v>
      </c>
      <c r="EH4" s="10" t="s">
        <v>11</v>
      </c>
      <c r="EI4" s="7" t="s">
        <v>7</v>
      </c>
      <c r="EJ4" s="8" t="s">
        <v>8</v>
      </c>
      <c r="EK4" s="9" t="s">
        <v>10</v>
      </c>
      <c r="EL4" s="10" t="s">
        <v>11</v>
      </c>
      <c r="EM4" s="7" t="s">
        <v>7</v>
      </c>
      <c r="EN4" s="8" t="s">
        <v>8</v>
      </c>
      <c r="EO4" s="9" t="s">
        <v>10</v>
      </c>
      <c r="EP4" s="10" t="s">
        <v>11</v>
      </c>
      <c r="EQ4" s="7" t="s">
        <v>7</v>
      </c>
      <c r="ER4" s="8" t="s">
        <v>8</v>
      </c>
      <c r="ES4" s="9" t="s">
        <v>10</v>
      </c>
      <c r="ET4" s="10" t="s">
        <v>11</v>
      </c>
      <c r="EU4" s="7" t="s">
        <v>7</v>
      </c>
      <c r="EV4" s="8" t="s">
        <v>8</v>
      </c>
      <c r="EW4" s="9" t="s">
        <v>10</v>
      </c>
      <c r="EX4" s="10" t="s">
        <v>11</v>
      </c>
      <c r="EY4" s="7" t="s">
        <v>7</v>
      </c>
      <c r="EZ4" s="8" t="s">
        <v>8</v>
      </c>
      <c r="FA4" s="9" t="s">
        <v>10</v>
      </c>
      <c r="FB4" s="10" t="s">
        <v>11</v>
      </c>
      <c r="FC4" s="7" t="s">
        <v>7</v>
      </c>
      <c r="FD4" s="8" t="s">
        <v>8</v>
      </c>
      <c r="FE4" s="9" t="s">
        <v>10</v>
      </c>
      <c r="FF4" s="10" t="s">
        <v>11</v>
      </c>
      <c r="FG4" s="7" t="s">
        <v>7</v>
      </c>
      <c r="FH4" s="8" t="s">
        <v>8</v>
      </c>
      <c r="FI4" s="9" t="s">
        <v>10</v>
      </c>
      <c r="FJ4" s="10" t="s">
        <v>11</v>
      </c>
      <c r="FK4" s="7" t="s">
        <v>7</v>
      </c>
      <c r="FL4" s="8" t="s">
        <v>8</v>
      </c>
      <c r="FM4" s="9" t="s">
        <v>10</v>
      </c>
      <c r="FN4" s="10" t="s">
        <v>11</v>
      </c>
      <c r="FO4" s="7" t="s">
        <v>7</v>
      </c>
      <c r="FP4" s="8" t="s">
        <v>8</v>
      </c>
      <c r="FQ4" s="9" t="s">
        <v>10</v>
      </c>
      <c r="FR4" s="10" t="s">
        <v>11</v>
      </c>
      <c r="FS4" s="7" t="s">
        <v>7</v>
      </c>
      <c r="FT4" s="8" t="s">
        <v>8</v>
      </c>
      <c r="FU4" s="9" t="s">
        <v>10</v>
      </c>
      <c r="FV4" s="10" t="s">
        <v>11</v>
      </c>
      <c r="FW4" s="7" t="s">
        <v>7</v>
      </c>
      <c r="FX4" s="8" t="s">
        <v>8</v>
      </c>
      <c r="FY4" s="9" t="s">
        <v>10</v>
      </c>
      <c r="FZ4" s="10" t="s">
        <v>11</v>
      </c>
    </row>
    <row r="5" spans="1:194">
      <c r="B5" s="2" t="s">
        <v>0</v>
      </c>
      <c r="C5" s="11">
        <v>4986837</v>
      </c>
      <c r="D5" s="12">
        <v>138290050</v>
      </c>
      <c r="E5" s="13">
        <f>D5/C5</f>
        <v>27.731014669218183</v>
      </c>
      <c r="F5" s="14">
        <f>E5*3.30578512</f>
        <v>91.672775656003196</v>
      </c>
      <c r="G5" s="11">
        <v>304427</v>
      </c>
      <c r="H5" s="12">
        <v>9964888</v>
      </c>
      <c r="I5" s="13">
        <f>H5/G5</f>
        <v>32.733259533484215</v>
      </c>
      <c r="J5" s="14">
        <f>I5*3.30578512</f>
        <v>108.20912229489026</v>
      </c>
      <c r="K5" s="11">
        <v>234568</v>
      </c>
      <c r="L5" s="12">
        <v>7178890</v>
      </c>
      <c r="M5" s="13">
        <f>L5/K5</f>
        <v>30.604728692745812</v>
      </c>
      <c r="N5" s="14">
        <f>M5*3.30578512</f>
        <v>101.17265671411616</v>
      </c>
      <c r="O5" s="11">
        <v>326568</v>
      </c>
      <c r="P5" s="12">
        <v>8655630</v>
      </c>
      <c r="Q5" s="13">
        <f>P5/O5</f>
        <v>26.504832071727787</v>
      </c>
      <c r="R5" s="14">
        <f>Q5*3.30578512</f>
        <v>87.619279470816494</v>
      </c>
      <c r="S5" s="11">
        <v>372268</v>
      </c>
      <c r="T5" s="12">
        <v>11180130</v>
      </c>
      <c r="U5" s="13">
        <f>T5/S5</f>
        <v>30.032476602877498</v>
      </c>
      <c r="V5" s="14">
        <f>U5*3.30578512</f>
        <v>99.280914270540578</v>
      </c>
      <c r="W5" s="11">
        <v>251106</v>
      </c>
      <c r="X5" s="12">
        <v>9823521</v>
      </c>
      <c r="Y5" s="13">
        <f>X5/W5</f>
        <v>39.121012640080288</v>
      </c>
      <c r="Z5" s="14">
        <f>Y5*3.30578512</f>
        <v>129.32566146490933</v>
      </c>
      <c r="AA5" s="11">
        <v>384784</v>
      </c>
      <c r="AB5" s="12">
        <v>13228464</v>
      </c>
      <c r="AC5" s="13">
        <f>AB5/AA5</f>
        <v>34.378934675038465</v>
      </c>
      <c r="AD5" s="14">
        <f>AC5*3.30578512</f>
        <v>113.64937069019419</v>
      </c>
      <c r="AE5" s="11">
        <v>438227</v>
      </c>
      <c r="AF5" s="12">
        <v>19316127</v>
      </c>
      <c r="AG5" s="13">
        <f>AF5/AE5</f>
        <v>44.077902548222724</v>
      </c>
      <c r="AH5" s="14">
        <f>AG5*3.30578512</f>
        <v>145.71207436472477</v>
      </c>
      <c r="AI5" s="11">
        <v>288928</v>
      </c>
      <c r="AJ5" s="12">
        <v>8129108</v>
      </c>
      <c r="AK5" s="13">
        <f>AJ5/AI5</f>
        <v>28.135410898216858</v>
      </c>
      <c r="AL5" s="14">
        <f>AK5*3.30578512</f>
        <v>93.009622692411114</v>
      </c>
      <c r="AM5" s="11">
        <v>416123</v>
      </c>
      <c r="AN5" s="12">
        <v>18487312</v>
      </c>
      <c r="AO5" s="13">
        <f>AN5/AM5</f>
        <v>44.427517825258398</v>
      </c>
      <c r="AP5" s="14">
        <f>AO5*3.30578512</f>
        <v>146.86782734527398</v>
      </c>
      <c r="AQ5" s="11">
        <v>335080</v>
      </c>
      <c r="AR5" s="12">
        <v>11983171</v>
      </c>
      <c r="AS5" s="13">
        <f>AR5/AQ5</f>
        <v>35.762119493852211</v>
      </c>
      <c r="AT5" s="14">
        <f>AS5*3.30578512</f>
        <v>118.22188248243857</v>
      </c>
      <c r="AU5" s="11">
        <v>396639</v>
      </c>
      <c r="AV5" s="12">
        <v>14275145</v>
      </c>
      <c r="AW5" s="13">
        <f>AV5/AU5</f>
        <v>35.990270749976681</v>
      </c>
      <c r="AX5" s="14">
        <f>AW5*3.30578512</f>
        <v>118.97610151004415</v>
      </c>
      <c r="AY5" s="11">
        <v>243333</v>
      </c>
      <c r="AZ5" s="12">
        <v>11055431</v>
      </c>
      <c r="BA5" s="13">
        <f>AZ5/AY5</f>
        <v>45.433340319644273</v>
      </c>
      <c r="BB5" s="14">
        <f>BA5*3.30578512</f>
        <v>150.19286038057606</v>
      </c>
      <c r="BC5" s="11">
        <v>265880</v>
      </c>
      <c r="BD5" s="12">
        <v>9030358</v>
      </c>
      <c r="BE5" s="13">
        <f>BD5/BC5</f>
        <v>33.964036407401835</v>
      </c>
      <c r="BF5" s="14">
        <f>BE5*3.30578512</f>
        <v>112.27780617072725</v>
      </c>
      <c r="BG5" s="11">
        <v>252616</v>
      </c>
      <c r="BH5" s="12">
        <v>8814267</v>
      </c>
      <c r="BI5" s="13">
        <f>BH5/BG5</f>
        <v>34.891958545776987</v>
      </c>
      <c r="BJ5" s="14">
        <f>BI5*3.30578512</f>
        <v>115.3453173682864</v>
      </c>
      <c r="BK5" s="11">
        <v>262835</v>
      </c>
      <c r="BL5" s="12">
        <v>9011710</v>
      </c>
      <c r="BM5" s="13">
        <f>BL5/BK5</f>
        <v>34.286567618467863</v>
      </c>
      <c r="BN5" s="14">
        <f>BM5*3.30578512</f>
        <v>113.3440250490049</v>
      </c>
      <c r="BO5" s="11">
        <v>375752</v>
      </c>
      <c r="BP5" s="12">
        <v>13476755</v>
      </c>
      <c r="BQ5" s="13">
        <f>BP5/BO5</f>
        <v>35.866089867785135</v>
      </c>
      <c r="BR5" s="14">
        <f>BQ5*3.30578512</f>
        <v>118.56558619750686</v>
      </c>
      <c r="BS5" s="11">
        <v>265069</v>
      </c>
      <c r="BT5" s="12">
        <v>9528771</v>
      </c>
      <c r="BU5" s="13">
        <f>BT5/BS5</f>
        <v>35.94826630047271</v>
      </c>
      <c r="BV5" s="14">
        <f>BU5*3.30578512</f>
        <v>118.83724382590013</v>
      </c>
      <c r="BW5" s="11">
        <v>283220</v>
      </c>
      <c r="BX5" s="12">
        <v>10474266</v>
      </c>
      <c r="BY5" s="13">
        <f>BX5/BW5</f>
        <v>36.982790763364171</v>
      </c>
      <c r="BZ5" s="14">
        <f>BY5*3.30578512</f>
        <v>122.25715940160272</v>
      </c>
      <c r="CA5" s="11">
        <v>371653</v>
      </c>
      <c r="CB5" s="12">
        <v>17028276</v>
      </c>
      <c r="CC5" s="13">
        <f>CB5/CA5</f>
        <v>45.817674013125149</v>
      </c>
      <c r="CD5" s="14">
        <f>CC5*3.30578512</f>
        <v>151.46338498559979</v>
      </c>
      <c r="CE5" s="11">
        <v>177442</v>
      </c>
      <c r="CF5" s="12">
        <v>6836406</v>
      </c>
      <c r="CG5" s="13">
        <f>CF5/CE5</f>
        <v>38.527552665096202</v>
      </c>
      <c r="CH5" s="14">
        <f>CG5*3.30578512</f>
        <v>127.36381031029137</v>
      </c>
      <c r="CI5" s="11">
        <v>264665</v>
      </c>
      <c r="CJ5" s="12">
        <v>10186205</v>
      </c>
      <c r="CK5" s="13">
        <f>CJ5/CI5</f>
        <v>38.487163017399354</v>
      </c>
      <c r="CL5" s="14">
        <f>CK5*3.30578512</f>
        <v>127.23029081393308</v>
      </c>
      <c r="CM5" s="11">
        <v>301774</v>
      </c>
      <c r="CN5" s="12">
        <v>11024756</v>
      </c>
      <c r="CO5" s="13">
        <f>CN5/CM5</f>
        <v>36.533153949644436</v>
      </c>
      <c r="CP5" s="14">
        <f>CO5*3.30578512</f>
        <v>120.7707567134038</v>
      </c>
      <c r="CQ5" s="11">
        <v>293557</v>
      </c>
      <c r="CR5" s="12">
        <v>10566113</v>
      </c>
      <c r="CS5" s="13">
        <f>CR5/CQ5</f>
        <v>35.993394809185268</v>
      </c>
      <c r="CT5" s="14">
        <f>CS5*3.30578512</f>
        <v>118.9864289784899</v>
      </c>
      <c r="CU5" s="11">
        <v>772017</v>
      </c>
      <c r="CV5" s="12">
        <v>49470449</v>
      </c>
      <c r="CW5" s="13">
        <f>CV5/CU5</f>
        <v>64.079481410383451</v>
      </c>
      <c r="CX5" s="14">
        <f>CW5*3.30578512</f>
        <v>211.83299614376222</v>
      </c>
      <c r="CY5" s="11">
        <v>696891</v>
      </c>
      <c r="CZ5" s="12">
        <v>28702203</v>
      </c>
      <c r="DA5" s="13">
        <f>CZ5/CY5</f>
        <v>41.186072140406459</v>
      </c>
      <c r="DB5" s="14">
        <f>DA5*3.30578512</f>
        <v>136.15230443300223</v>
      </c>
      <c r="DC5" s="11">
        <v>294618</v>
      </c>
      <c r="DD5" s="12">
        <v>12178890</v>
      </c>
      <c r="DE5" s="13">
        <f>DD5/DC5</f>
        <v>41.337901961183633</v>
      </c>
      <c r="DF5" s="14">
        <f>DE5*3.30578512</f>
        <v>136.65422119529967</v>
      </c>
      <c r="DG5" s="11">
        <v>609659</v>
      </c>
      <c r="DH5" s="12">
        <v>25614822</v>
      </c>
      <c r="DI5" s="13">
        <f>DH5/DG5</f>
        <v>42.014998548368844</v>
      </c>
      <c r="DJ5" s="14">
        <f>DI5*3.30578512</f>
        <v>138.89255701801932</v>
      </c>
      <c r="DK5" s="11">
        <v>346102</v>
      </c>
      <c r="DL5" s="12">
        <v>15827781</v>
      </c>
      <c r="DM5" s="13">
        <f>DL5/DK5</f>
        <v>45.731550236635442</v>
      </c>
      <c r="DN5" s="14">
        <f>DM5*3.30578512</f>
        <v>151.17867828680193</v>
      </c>
      <c r="DO5" s="11">
        <v>350082</v>
      </c>
      <c r="DP5" s="12">
        <v>8443971</v>
      </c>
      <c r="DQ5" s="13">
        <f>DP5/DO5</f>
        <v>24.119980461720395</v>
      </c>
      <c r="DR5" s="14">
        <f>DQ5*3.30578512</f>
        <v>79.735472505046005</v>
      </c>
      <c r="DS5" s="11">
        <v>265989</v>
      </c>
      <c r="DT5" s="12">
        <v>12465579</v>
      </c>
      <c r="DU5" s="13">
        <f>DT5/DS5</f>
        <v>46.865016974386158</v>
      </c>
      <c r="DV5" s="14">
        <f>DU5*3.30578512</f>
        <v>154.92567576247319</v>
      </c>
      <c r="DW5" s="11">
        <v>628940</v>
      </c>
      <c r="DX5" s="12">
        <v>25489877</v>
      </c>
      <c r="DY5" s="13">
        <f>DX5/DW5</f>
        <v>40.528312716634339</v>
      </c>
      <c r="DZ5" s="14">
        <f>DY5*3.30578512</f>
        <v>133.97789311735656</v>
      </c>
      <c r="EA5" s="11">
        <v>166485</v>
      </c>
      <c r="EB5" s="12">
        <v>7412704</v>
      </c>
      <c r="EC5" s="13">
        <f>EB5/EA5</f>
        <v>44.524755984022583</v>
      </c>
      <c r="ED5" s="14">
        <f>EC5*3.30578512</f>
        <v>147.18927580361282</v>
      </c>
      <c r="EE5" s="11">
        <v>274097</v>
      </c>
      <c r="EF5" s="12">
        <v>11321662</v>
      </c>
      <c r="EG5" s="13">
        <f>EF5/EE5</f>
        <v>41.30531162325746</v>
      </c>
      <c r="EH5" s="14">
        <f>EG5*3.30578512</f>
        <v>136.54648454112754</v>
      </c>
      <c r="EI5" s="11">
        <v>254290</v>
      </c>
      <c r="EJ5" s="12">
        <v>10139886</v>
      </c>
      <c r="EK5" s="13">
        <f>EJ5/EI5</f>
        <v>39.875284124424866</v>
      </c>
      <c r="EL5" s="14">
        <f>EK5*3.30578512</f>
        <v>131.81912091429595</v>
      </c>
      <c r="EM5" s="11">
        <v>170842</v>
      </c>
      <c r="EN5" s="12">
        <v>6032659</v>
      </c>
      <c r="EO5" s="13">
        <f>EN5/EM5</f>
        <v>35.311334449374279</v>
      </c>
      <c r="EP5" s="14">
        <f>EO5*3.30578512</f>
        <v>116.73168399008487</v>
      </c>
      <c r="EQ5" s="11">
        <v>206504</v>
      </c>
      <c r="ER5" s="12">
        <v>8393466</v>
      </c>
      <c r="ES5" s="13">
        <f>ER5/EQ5</f>
        <v>40.645537132452638</v>
      </c>
      <c r="ET5" s="14">
        <f>ES5*3.30578512</f>
        <v>134.36541184686939</v>
      </c>
      <c r="EU5" s="11">
        <v>266043</v>
      </c>
      <c r="EV5" s="12">
        <v>12105799.10382</v>
      </c>
      <c r="EW5" s="13">
        <f>EV5/EU5</f>
        <v>45.503167171547453</v>
      </c>
      <c r="EX5" s="14">
        <f>EW5*3.30578512</f>
        <v>150.42369294857406</v>
      </c>
      <c r="EY5" s="11">
        <v>186444</v>
      </c>
      <c r="EZ5" s="12">
        <v>6580223.5856400002</v>
      </c>
      <c r="FA5" s="13">
        <f>EZ5/EY5</f>
        <v>35.29329764240201</v>
      </c>
      <c r="FB5" s="14">
        <f>FA5*3.30578512</f>
        <v>116.67205818198364</v>
      </c>
      <c r="FC5" s="11">
        <v>539369</v>
      </c>
      <c r="FD5" s="12">
        <v>38448948.415250003</v>
      </c>
      <c r="FE5" s="13">
        <f>FD5/FC5</f>
        <v>71.285054230498972</v>
      </c>
      <c r="FF5" s="14">
        <f>FE5*3.30578512</f>
        <v>235.65307155357655</v>
      </c>
      <c r="FG5" s="11">
        <v>331956</v>
      </c>
      <c r="FH5" s="12">
        <v>16259901.108510001</v>
      </c>
      <c r="FI5" s="13">
        <f>FH5/FG5</f>
        <v>48.982097351787587</v>
      </c>
      <c r="FJ5" s="14">
        <f>FI5*3.30578512</f>
        <v>161.92428857193082</v>
      </c>
      <c r="FK5" s="11">
        <v>266452</v>
      </c>
      <c r="FL5" s="12">
        <v>13057560.06959</v>
      </c>
      <c r="FM5" s="13">
        <f>FL5/FK5</f>
        <v>49.005299527081803</v>
      </c>
      <c r="FN5" s="14">
        <f>FM5*3.30578512</f>
        <v>162.00098997777005</v>
      </c>
      <c r="FO5" s="11"/>
      <c r="FP5" s="12"/>
      <c r="FQ5" s="13" t="e">
        <f>FP5/FO5</f>
        <v>#DIV/0!</v>
      </c>
      <c r="FR5" s="14" t="e">
        <f>FQ5*3.30578512</f>
        <v>#DIV/0!</v>
      </c>
      <c r="FS5" s="11"/>
      <c r="FT5" s="12"/>
      <c r="FU5" s="13" t="e">
        <f>FT5/FS5</f>
        <v>#DIV/0!</v>
      </c>
      <c r="FV5" s="14" t="e">
        <f>FU5*3.30578512</f>
        <v>#DIV/0!</v>
      </c>
      <c r="FW5" s="11"/>
      <c r="FX5" s="12"/>
      <c r="FY5" s="13" t="e">
        <f>FX5/FW5</f>
        <v>#DIV/0!</v>
      </c>
      <c r="FZ5" s="14" t="e">
        <f>FY5*3.30578512</f>
        <v>#DIV/0!</v>
      </c>
    </row>
    <row r="6" spans="1:194">
      <c r="B6" s="2" t="s">
        <v>1</v>
      </c>
      <c r="C6" s="11">
        <v>5648530</v>
      </c>
      <c r="D6" s="12">
        <v>91415609</v>
      </c>
      <c r="E6" s="13">
        <f t="shared" ref="E6:E11" si="0">D6/C6</f>
        <v>16.183964500498359</v>
      </c>
      <c r="F6" s="14">
        <f t="shared" ref="F6:F11" si="1">E6*3.30578512</f>
        <v>53.500709028355708</v>
      </c>
      <c r="G6" s="11">
        <v>235062</v>
      </c>
      <c r="H6" s="12">
        <v>4409546</v>
      </c>
      <c r="I6" s="13">
        <f t="shared" ref="I6:I11" si="2">H6/G6</f>
        <v>18.759076328798361</v>
      </c>
      <c r="J6" s="14">
        <f t="shared" ref="J6:J11" si="3">I6*3.30578512</f>
        <v>62.013475392685848</v>
      </c>
      <c r="K6" s="11">
        <v>340618</v>
      </c>
      <c r="L6" s="12">
        <v>5562274</v>
      </c>
      <c r="M6" s="13">
        <f t="shared" ref="M6:M11" si="4">L6/K6</f>
        <v>16.329947331027721</v>
      </c>
      <c r="N6" s="14">
        <f t="shared" ref="N6:N11" si="5">M6*3.30578512</f>
        <v>53.983296897295155</v>
      </c>
      <c r="O6" s="11">
        <v>285237</v>
      </c>
      <c r="P6" s="12">
        <v>4767054</v>
      </c>
      <c r="Q6" s="13">
        <f t="shared" ref="Q6:Q11" si="6">P6/O6</f>
        <v>16.712607410679539</v>
      </c>
      <c r="R6" s="14">
        <f t="shared" ref="R6:R11" si="7">Q6*3.30578512</f>
        <v>55.24828889462615</v>
      </c>
      <c r="S6" s="11">
        <v>376830</v>
      </c>
      <c r="T6" s="12">
        <v>6137473</v>
      </c>
      <c r="U6" s="13">
        <f t="shared" ref="U6:U11" si="8">T6/S6</f>
        <v>16.287113552530318</v>
      </c>
      <c r="V6" s="14">
        <f t="shared" ref="V6:V11" si="9">U6*3.30578512</f>
        <v>53.84169762970506</v>
      </c>
      <c r="W6" s="11">
        <v>293027</v>
      </c>
      <c r="X6" s="12">
        <v>4772590</v>
      </c>
      <c r="Y6" s="13">
        <f t="shared" ref="Y6:Y11" si="10">X6/W6</f>
        <v>16.287202203209944</v>
      </c>
      <c r="Z6" s="14">
        <f t="shared" ref="Z6:Z11" si="11">Y6*3.30578512</f>
        <v>53.84199068980265</v>
      </c>
      <c r="AA6" s="11">
        <v>364727</v>
      </c>
      <c r="AB6" s="12">
        <v>6242425</v>
      </c>
      <c r="AC6" s="13">
        <f t="shared" ref="AC6:AC11" si="12">AB6/AA6</f>
        <v>17.115335579762398</v>
      </c>
      <c r="AD6" s="14">
        <f t="shared" ref="AD6:AD11" si="13">AC6*3.30578512</f>
        <v>56.579621683385106</v>
      </c>
      <c r="AE6" s="11">
        <v>409659</v>
      </c>
      <c r="AF6" s="12">
        <v>6185950</v>
      </c>
      <c r="AG6" s="13">
        <f t="shared" ref="AG6:AG11" si="14">AF6/AE6</f>
        <v>15.100241908514155</v>
      </c>
      <c r="AH6" s="14">
        <f t="shared" ref="AH6:AH11" si="15">AG6*3.30578512</f>
        <v>49.91815500956649</v>
      </c>
      <c r="AI6" s="11">
        <v>259968</v>
      </c>
      <c r="AJ6" s="12">
        <v>4368510</v>
      </c>
      <c r="AK6" s="13">
        <f t="shared" ref="AK6:AK11" si="16">AJ6/AI6</f>
        <v>16.8040297267356</v>
      </c>
      <c r="AL6" s="14">
        <f t="shared" ref="AL6:AL11" si="17">AK6*3.30578512</f>
        <v>55.55051142668021</v>
      </c>
      <c r="AM6" s="11">
        <v>283028</v>
      </c>
      <c r="AN6" s="12">
        <v>4752291</v>
      </c>
      <c r="AO6" s="13">
        <f t="shared" ref="AO6:AO11" si="18">AN6/AM6</f>
        <v>16.790886414065039</v>
      </c>
      <c r="AP6" s="14">
        <f t="shared" ref="AP6:AP11" si="19">AO6*3.30578512</f>
        <v>55.507062459226361</v>
      </c>
      <c r="AQ6" s="11">
        <v>297073</v>
      </c>
      <c r="AR6" s="12">
        <v>5803999</v>
      </c>
      <c r="AS6" s="13">
        <f t="shared" ref="AS6:AS11" si="20">AR6/AQ6</f>
        <v>19.537282082181822</v>
      </c>
      <c r="AT6" s="14">
        <f t="shared" ref="AT6:AT11" si="21">AS6*3.30578512</f>
        <v>64.586056392519282</v>
      </c>
      <c r="AU6" s="11">
        <v>297961</v>
      </c>
      <c r="AV6" s="12">
        <v>6201695</v>
      </c>
      <c r="AW6" s="13">
        <f t="shared" ref="AW6:AW11" si="22">AV6/AU6</f>
        <v>20.813780998184328</v>
      </c>
      <c r="AX6" s="14">
        <f t="shared" ref="AX6:AX11" si="23">AW6*3.30578512</f>
        <v>68.805887514736497</v>
      </c>
      <c r="AY6" s="11">
        <v>336799</v>
      </c>
      <c r="AZ6" s="12">
        <v>7061378</v>
      </c>
      <c r="BA6" s="13">
        <f t="shared" ref="BA6:BA11" si="24">AZ6/AY6</f>
        <v>20.966148949373366</v>
      </c>
      <c r="BB6" s="14">
        <f t="shared" ref="BB6:BB11" si="25">BA6*3.30578512</f>
        <v>69.309583220542109</v>
      </c>
      <c r="BC6" s="11">
        <v>349495</v>
      </c>
      <c r="BD6" s="12">
        <v>6533442</v>
      </c>
      <c r="BE6" s="13">
        <f t="shared" ref="BE6:BE11" si="26">BD6/BC6</f>
        <v>18.693949841914762</v>
      </c>
      <c r="BF6" s="14">
        <f t="shared" ref="BF6:BF11" si="27">BE6*3.30578512</f>
        <v>61.798181221428173</v>
      </c>
      <c r="BG6" s="11">
        <v>299766</v>
      </c>
      <c r="BH6" s="12">
        <v>9026374</v>
      </c>
      <c r="BI6" s="13">
        <f t="shared" ref="BI6:BI11" si="28">BH6/BG6</f>
        <v>30.111400225509229</v>
      </c>
      <c r="BJ6" s="14">
        <f t="shared" ref="BJ6:BJ11" si="29">BI6*3.30578512</f>
        <v>99.541818807853048</v>
      </c>
      <c r="BK6" s="11">
        <v>265050</v>
      </c>
      <c r="BL6" s="12">
        <v>4385844</v>
      </c>
      <c r="BM6" s="13">
        <f t="shared" ref="BM6:BM11" si="30">BL6/BK6</f>
        <v>16.54723259762309</v>
      </c>
      <c r="BN6" s="14">
        <f t="shared" ref="BN6:BN11" si="31">BM6*3.30578512</f>
        <v>54.701595298401358</v>
      </c>
      <c r="BO6" s="11">
        <v>301640</v>
      </c>
      <c r="BP6" s="12">
        <v>5766701</v>
      </c>
      <c r="BQ6" s="13">
        <f t="shared" ref="BQ6:BQ11" si="32">BP6/BO6</f>
        <v>19.117825885161118</v>
      </c>
      <c r="BR6" s="14">
        <f t="shared" ref="BR6:BR11" si="33">BQ6*3.30578512</f>
        <v>63.199424337916447</v>
      </c>
      <c r="BS6" s="11">
        <v>273555</v>
      </c>
      <c r="BT6" s="12">
        <v>5429301</v>
      </c>
      <c r="BU6" s="13">
        <f t="shared" ref="BU6:BU11" si="34">BT6/BS6</f>
        <v>19.847200745736689</v>
      </c>
      <c r="BV6" s="14">
        <f t="shared" ref="BV6:BV11" si="35">BU6*3.30578512</f>
        <v>65.610580898909248</v>
      </c>
      <c r="BW6" s="11">
        <v>242463</v>
      </c>
      <c r="BX6" s="12">
        <v>5250744</v>
      </c>
      <c r="BY6" s="13">
        <f t="shared" ref="BY6:BY11" si="36">BX6/BW6</f>
        <v>21.655856769898911</v>
      </c>
      <c r="BZ6" s="14">
        <f t="shared" ref="BZ6:BZ11" si="37">BY6*3.30578512</f>
        <v>71.589609070783084</v>
      </c>
      <c r="CA6" s="11">
        <v>260084</v>
      </c>
      <c r="CB6" s="12">
        <v>4704308</v>
      </c>
      <c r="CC6" s="13">
        <f t="shared" ref="CC6:CC11" si="38">CB6/CA6</f>
        <v>18.087648605835039</v>
      </c>
      <c r="CD6" s="14">
        <f t="shared" ref="CD6:CD11" si="39">CC6*3.30578512</f>
        <v>59.793879616958215</v>
      </c>
      <c r="CE6" s="11">
        <v>293055</v>
      </c>
      <c r="CF6" s="12">
        <v>5122568</v>
      </c>
      <c r="CG6" s="13">
        <f t="shared" ref="CG6:CG11" si="40">CF6/CE6</f>
        <v>17.479886028219958</v>
      </c>
      <c r="CH6" s="14">
        <f t="shared" ref="CH6:CH11" si="41">CG6*3.30578512</f>
        <v>57.784747131385437</v>
      </c>
      <c r="CI6" s="11">
        <v>319914</v>
      </c>
      <c r="CJ6" s="12">
        <v>5949907</v>
      </c>
      <c r="CK6" s="13">
        <f t="shared" ref="CK6:CK11" si="42">CJ6/CI6</f>
        <v>18.598457710509699</v>
      </c>
      <c r="CL6" s="14">
        <f t="shared" ref="CL6:CL11" si="43">CK6*3.30578512</f>
        <v>61.482504754352227</v>
      </c>
      <c r="CM6" s="11">
        <v>373898</v>
      </c>
      <c r="CN6" s="12">
        <v>6937033</v>
      </c>
      <c r="CO6" s="13">
        <f t="shared" ref="CO6:CO11" si="44">CN6/CM6</f>
        <v>18.553276562057032</v>
      </c>
      <c r="CP6" s="14">
        <f t="shared" ref="CP6:CP11" si="45">CO6*3.30578512</f>
        <v>61.33314558609289</v>
      </c>
      <c r="CQ6" s="11">
        <v>259485</v>
      </c>
      <c r="CR6" s="12">
        <v>5528798</v>
      </c>
      <c r="CS6" s="13">
        <f t="shared" ref="CS6:CS11" si="46">CR6/CQ6</f>
        <v>21.306811569069502</v>
      </c>
      <c r="CT6" s="14">
        <f t="shared" ref="CT6:CT11" si="47">CS6*3.30578512</f>
        <v>70.43574063967381</v>
      </c>
      <c r="CU6" s="11">
        <v>271390</v>
      </c>
      <c r="CV6" s="12">
        <v>5482636</v>
      </c>
      <c r="CW6" s="13">
        <f t="shared" ref="CW6:CW11" si="48">CV6/CU6</f>
        <v>20.202056081653708</v>
      </c>
      <c r="CX6" s="14">
        <f t="shared" ref="CX6:CX11" si="49">CW6*3.30578512</f>
        <v>66.783656388136336</v>
      </c>
      <c r="CY6" s="11">
        <v>251489</v>
      </c>
      <c r="CZ6" s="12">
        <v>5666683</v>
      </c>
      <c r="DA6" s="13">
        <f t="shared" ref="DA6:DA11" si="50">CZ6/CY6</f>
        <v>22.532528261673473</v>
      </c>
      <c r="DB6" s="14">
        <f t="shared" ref="DB6:DB11" si="51">DA6*3.30578512</f>
        <v>74.487696643419639</v>
      </c>
      <c r="DC6" s="11">
        <v>183913</v>
      </c>
      <c r="DD6" s="12">
        <v>3718826</v>
      </c>
      <c r="DE6" s="13">
        <f t="shared" ref="DE6:DE11" si="52">DD6/DC6</f>
        <v>20.220571683350279</v>
      </c>
      <c r="DF6" s="14">
        <f t="shared" ref="DF6:DF11" si="53">DE6*3.30578512</f>
        <v>66.8448649887127</v>
      </c>
      <c r="DG6" s="11">
        <v>251143</v>
      </c>
      <c r="DH6" s="12">
        <v>5111682</v>
      </c>
      <c r="DI6" s="13">
        <f t="shared" ref="DI6:DI11" si="54">DH6/DG6</f>
        <v>20.353671016114326</v>
      </c>
      <c r="DJ6" s="14">
        <f t="shared" ref="DJ6:DJ11" si="55">DI6*3.30578512</f>
        <v>67.284862782446012</v>
      </c>
      <c r="DK6" s="11">
        <v>508490</v>
      </c>
      <c r="DL6" s="12">
        <v>14852741</v>
      </c>
      <c r="DM6" s="13">
        <f t="shared" ref="DM6:DM11" si="56">DL6/DK6</f>
        <v>29.209504611693447</v>
      </c>
      <c r="DN6" s="14">
        <f t="shared" ref="DN6:DN11" si="57">DM6*3.30578512</f>
        <v>96.560345707907572</v>
      </c>
      <c r="DO6" s="11">
        <v>254162</v>
      </c>
      <c r="DP6" s="12">
        <v>5601602</v>
      </c>
      <c r="DQ6" s="13">
        <f t="shared" ref="DQ6:DQ11" si="58">DP6/DO6</f>
        <v>22.039494495636642</v>
      </c>
      <c r="DR6" s="14">
        <f t="shared" ref="DR6:DR11" si="59">DQ6*3.30578512</f>
        <v>72.857832955997509</v>
      </c>
      <c r="DS6" s="11">
        <v>258448</v>
      </c>
      <c r="DT6" s="12">
        <v>5469074</v>
      </c>
      <c r="DU6" s="13">
        <f t="shared" ref="DU6:DU11" si="60">DT6/DS6</f>
        <v>21.16121618275243</v>
      </c>
      <c r="DV6" s="14">
        <f t="shared" ref="DV6:DV11" si="61">DU6*3.30578512</f>
        <v>69.954433578046178</v>
      </c>
      <c r="DW6" s="11">
        <v>305800</v>
      </c>
      <c r="DX6" s="12">
        <v>5297357</v>
      </c>
      <c r="DY6" s="13">
        <f t="shared" ref="DY6:DY11" si="62">DX6/DW6</f>
        <v>17.322946370176584</v>
      </c>
      <c r="DZ6" s="14">
        <f t="shared" ref="DZ6:DZ11" si="63">DY6*3.30578512</f>
        <v>57.265938345087761</v>
      </c>
      <c r="EA6" s="11">
        <v>331828</v>
      </c>
      <c r="EB6" s="12">
        <v>7277925</v>
      </c>
      <c r="EC6" s="13">
        <f t="shared" ref="EC6:EC11" si="64">EB6/EA6</f>
        <v>21.932823631519945</v>
      </c>
      <c r="ED6" s="14">
        <f t="shared" ref="ED6:ED11" si="65">EC6*3.30578512</f>
        <v>72.50520200066299</v>
      </c>
      <c r="EE6" s="11">
        <v>251692</v>
      </c>
      <c r="EF6" s="12">
        <v>5649538</v>
      </c>
      <c r="EG6" s="13">
        <f t="shared" ref="EG6:EG11" si="66">EF6/EE6</f>
        <v>22.446235875593981</v>
      </c>
      <c r="EH6" s="14">
        <f t="shared" ref="EH6:EH11" si="67">EG6*3.30578512</f>
        <v>74.202432557548747</v>
      </c>
      <c r="EI6" s="11">
        <v>210277</v>
      </c>
      <c r="EJ6" s="12">
        <v>5070897</v>
      </c>
      <c r="EK6" s="13">
        <f t="shared" ref="EK6:EK11" si="68">EJ6/EI6</f>
        <v>24.11531931690104</v>
      </c>
      <c r="EL6" s="14">
        <f t="shared" ref="EL6:EL11" si="69">EK6*3.30578512</f>
        <v>79.720063761860018</v>
      </c>
      <c r="EM6" s="11">
        <v>232139</v>
      </c>
      <c r="EN6" s="12">
        <v>5033326</v>
      </c>
      <c r="EO6" s="13">
        <f t="shared" ref="EO6:EO11" si="70">EN6/EM6</f>
        <v>21.682379953389994</v>
      </c>
      <c r="EP6" s="14">
        <f t="shared" ref="EP6:EP11" si="71">EO6*3.30578512</f>
        <v>71.677289016102932</v>
      </c>
      <c r="EQ6" s="11">
        <v>288301</v>
      </c>
      <c r="ER6" s="12">
        <v>5920779</v>
      </c>
      <c r="ES6" s="13">
        <f t="shared" ref="ES6:ES11" si="72">ER6/EQ6</f>
        <v>20.536796611874394</v>
      </c>
      <c r="ET6" s="14">
        <f t="shared" ref="ET6:ET11" si="73">ES6*3.30578512</f>
        <v>67.89023665200078</v>
      </c>
      <c r="EU6" s="11">
        <v>268000</v>
      </c>
      <c r="EV6" s="12">
        <v>7319344.1222799998</v>
      </c>
      <c r="EW6" s="13">
        <f t="shared" ref="EW6:EW11" si="74">EV6/EU6</f>
        <v>27.310985530895522</v>
      </c>
      <c r="EX6" s="14">
        <f t="shared" ref="EX6:EX11" si="75">EW6*3.30578512</f>
        <v>90.284249580569707</v>
      </c>
      <c r="EY6" s="11">
        <v>182826</v>
      </c>
      <c r="EZ6" s="12">
        <v>4543917.7633300005</v>
      </c>
      <c r="FA6" s="13">
        <f t="shared" ref="FA6:FA11" si="76">EZ6/EY6</f>
        <v>24.853783178158469</v>
      </c>
      <c r="FB6" s="14">
        <f t="shared" ref="FB6:FB11" si="77">FA6*3.30578512</f>
        <v>82.161266606062568</v>
      </c>
      <c r="FC6" s="11">
        <v>315483</v>
      </c>
      <c r="FD6" s="12">
        <v>10934837.751839999</v>
      </c>
      <c r="FE6" s="13">
        <f t="shared" ref="FE6:FE11" si="78">FD6/FC6</f>
        <v>34.660624350091759</v>
      </c>
      <c r="FF6" s="14">
        <f t="shared" ref="FF6:FF11" si="79">FE6*3.30578512</f>
        <v>114.580576226443</v>
      </c>
      <c r="FG6" s="11">
        <v>360430</v>
      </c>
      <c r="FH6" s="12">
        <v>12264372.42963</v>
      </c>
      <c r="FI6" s="13">
        <f t="shared" ref="FI6:FI11" si="80">FH6/FG6</f>
        <v>34.027057763310488</v>
      </c>
      <c r="FJ6" s="14">
        <f t="shared" ref="FJ6:FJ11" si="81">FI6*3.30578512</f>
        <v>112.48614123133228</v>
      </c>
      <c r="FK6" s="11">
        <v>351659</v>
      </c>
      <c r="FL6" s="12">
        <v>7324507.68982</v>
      </c>
      <c r="FM6" s="13">
        <f t="shared" ref="FM6:FM11" si="82">FL6/FK6</f>
        <v>20.828438031786476</v>
      </c>
      <c r="FN6" s="14">
        <f t="shared" ref="FN6:FN11" si="83">FM6*3.30578512</f>
        <v>68.85434051832182</v>
      </c>
      <c r="FO6" s="11"/>
      <c r="FP6" s="12"/>
      <c r="FQ6" s="13" t="e">
        <f t="shared" ref="FQ6:FQ11" si="84">FP6/FO6</f>
        <v>#DIV/0!</v>
      </c>
      <c r="FR6" s="14" t="e">
        <f t="shared" ref="FR6:FR11" si="85">FQ6*3.30578512</f>
        <v>#DIV/0!</v>
      </c>
      <c r="FS6" s="11"/>
      <c r="FT6" s="12"/>
      <c r="FU6" s="13" t="e">
        <f t="shared" ref="FU6:FU11" si="86">FT6/FS6</f>
        <v>#DIV/0!</v>
      </c>
      <c r="FV6" s="14" t="e">
        <f t="shared" ref="FV6:FV11" si="87">FU6*3.30578512</f>
        <v>#DIV/0!</v>
      </c>
      <c r="FW6" s="11"/>
      <c r="FX6" s="12"/>
      <c r="FY6" s="13" t="e">
        <f t="shared" ref="FY6:FY11" si="88">FX6/FW6</f>
        <v>#DIV/0!</v>
      </c>
      <c r="FZ6" s="14" t="e">
        <f t="shared" ref="FZ6:FZ11" si="89">FY6*3.30578512</f>
        <v>#DIV/0!</v>
      </c>
    </row>
    <row r="7" spans="1:194">
      <c r="B7" s="2" t="s">
        <v>2</v>
      </c>
      <c r="C7" s="11">
        <v>8378701</v>
      </c>
      <c r="D7" s="12">
        <v>151709668</v>
      </c>
      <c r="E7" s="13">
        <f t="shared" si="0"/>
        <v>18.106585734471249</v>
      </c>
      <c r="F7" s="14">
        <f t="shared" si="1"/>
        <v>59.856481695019326</v>
      </c>
      <c r="G7" s="11">
        <v>461179</v>
      </c>
      <c r="H7" s="12">
        <v>11699628</v>
      </c>
      <c r="I7" s="13">
        <f t="shared" si="2"/>
        <v>25.36895218559388</v>
      </c>
      <c r="J7" s="14">
        <f t="shared" si="3"/>
        <v>83.864304645127731</v>
      </c>
      <c r="K7" s="11">
        <v>576152</v>
      </c>
      <c r="L7" s="12">
        <v>14477709</v>
      </c>
      <c r="M7" s="13">
        <f t="shared" si="4"/>
        <v>25.128280384343022</v>
      </c>
      <c r="N7" s="14">
        <f t="shared" si="5"/>
        <v>83.068695385749038</v>
      </c>
      <c r="O7" s="11">
        <v>634383</v>
      </c>
      <c r="P7" s="12">
        <v>13578836</v>
      </c>
      <c r="Q7" s="13">
        <f t="shared" si="6"/>
        <v>21.404791742527777</v>
      </c>
      <c r="R7" s="14">
        <f t="shared" si="7"/>
        <v>70.759642039147195</v>
      </c>
      <c r="S7" s="11">
        <v>929291</v>
      </c>
      <c r="T7" s="12">
        <v>25142992</v>
      </c>
      <c r="U7" s="13">
        <f t="shared" si="8"/>
        <v>27.056101909950705</v>
      </c>
      <c r="V7" s="14">
        <f t="shared" si="9"/>
        <v>89.441659099118624</v>
      </c>
      <c r="W7" s="11">
        <v>624765</v>
      </c>
      <c r="X7" s="12">
        <v>12090194</v>
      </c>
      <c r="Y7" s="13">
        <f t="shared" si="10"/>
        <v>19.351586596560306</v>
      </c>
      <c r="Z7" s="14">
        <f t="shared" si="11"/>
        <v>63.972187019300499</v>
      </c>
      <c r="AA7" s="11">
        <v>896466</v>
      </c>
      <c r="AB7" s="12">
        <v>21601128</v>
      </c>
      <c r="AC7" s="13">
        <f t="shared" si="12"/>
        <v>24.095869782010695</v>
      </c>
      <c r="AD7" s="14">
        <f t="shared" si="13"/>
        <v>79.65576777882859</v>
      </c>
      <c r="AE7" s="11">
        <v>674375</v>
      </c>
      <c r="AF7" s="12">
        <v>12666144</v>
      </c>
      <c r="AG7" s="13">
        <f t="shared" si="14"/>
        <v>18.782048563484707</v>
      </c>
      <c r="AH7" s="14">
        <f t="shared" si="15"/>
        <v>62.089416664285118</v>
      </c>
      <c r="AI7" s="11">
        <v>693613</v>
      </c>
      <c r="AJ7" s="12">
        <v>18737249</v>
      </c>
      <c r="AK7" s="13">
        <f t="shared" si="16"/>
        <v>27.013981860201582</v>
      </c>
      <c r="AL7" s="14">
        <f t="shared" si="17"/>
        <v>89.302419265404311</v>
      </c>
      <c r="AM7" s="11">
        <v>543075</v>
      </c>
      <c r="AN7" s="12">
        <v>15759087</v>
      </c>
      <c r="AO7" s="13">
        <f t="shared" si="18"/>
        <v>29.018251622704046</v>
      </c>
      <c r="AP7" s="14">
        <f t="shared" si="19"/>
        <v>95.928104422750891</v>
      </c>
      <c r="AQ7" s="11">
        <v>705775</v>
      </c>
      <c r="AR7" s="12">
        <v>19656272</v>
      </c>
      <c r="AS7" s="13">
        <f t="shared" si="20"/>
        <v>27.8506209486026</v>
      </c>
      <c r="AT7" s="14">
        <f t="shared" si="21"/>
        <v>92.068168314650762</v>
      </c>
      <c r="AU7" s="11">
        <v>575926</v>
      </c>
      <c r="AV7" s="12">
        <v>14206123</v>
      </c>
      <c r="AW7" s="13">
        <f t="shared" si="22"/>
        <v>24.666576956067274</v>
      </c>
      <c r="AX7" s="14">
        <f t="shared" si="23"/>
        <v>81.542403062702093</v>
      </c>
      <c r="AY7" s="11">
        <v>663086</v>
      </c>
      <c r="AZ7" s="12">
        <v>18570676</v>
      </c>
      <c r="BA7" s="13">
        <f t="shared" si="24"/>
        <v>28.006436570821883</v>
      </c>
      <c r="BB7" s="14">
        <f t="shared" si="25"/>
        <v>92.583261280046798</v>
      </c>
      <c r="BC7" s="11">
        <v>518150</v>
      </c>
      <c r="BD7" s="12">
        <v>13016740</v>
      </c>
      <c r="BE7" s="13">
        <f t="shared" si="26"/>
        <v>25.121567113770144</v>
      </c>
      <c r="BF7" s="14">
        <f t="shared" si="27"/>
        <v>83.046502755782683</v>
      </c>
      <c r="BG7" s="11">
        <v>538992</v>
      </c>
      <c r="BH7" s="12">
        <v>13018503</v>
      </c>
      <c r="BI7" s="13">
        <f t="shared" si="28"/>
        <v>24.153425282750021</v>
      </c>
      <c r="BJ7" s="14">
        <f t="shared" si="29"/>
        <v>79.846033896746803</v>
      </c>
      <c r="BK7" s="11">
        <v>531918</v>
      </c>
      <c r="BL7" s="12">
        <v>15139970</v>
      </c>
      <c r="BM7" s="13">
        <f t="shared" si="30"/>
        <v>28.462977376212123</v>
      </c>
      <c r="BN7" s="14">
        <f t="shared" si="31"/>
        <v>94.092487081178675</v>
      </c>
      <c r="BO7" s="11">
        <v>869886</v>
      </c>
      <c r="BP7" s="12">
        <v>25825737</v>
      </c>
      <c r="BQ7" s="13">
        <f t="shared" si="32"/>
        <v>29.688645408708727</v>
      </c>
      <c r="BR7" s="14">
        <f t="shared" si="33"/>
        <v>98.144282225065623</v>
      </c>
      <c r="BS7" s="11">
        <v>435893</v>
      </c>
      <c r="BT7" s="12">
        <v>11764341</v>
      </c>
      <c r="BU7" s="13">
        <f t="shared" si="34"/>
        <v>26.989056947461876</v>
      </c>
      <c r="BV7" s="14">
        <f t="shared" si="35"/>
        <v>89.220022859752092</v>
      </c>
      <c r="BW7" s="11">
        <v>527697</v>
      </c>
      <c r="BX7" s="12">
        <v>18187780</v>
      </c>
      <c r="BY7" s="13">
        <f t="shared" si="36"/>
        <v>34.466332004919487</v>
      </c>
      <c r="BZ7" s="14">
        <f t="shared" si="37"/>
        <v>113.9382874828426</v>
      </c>
      <c r="CA7" s="11">
        <v>509297</v>
      </c>
      <c r="CB7" s="12">
        <v>15393273</v>
      </c>
      <c r="CC7" s="13">
        <f t="shared" si="38"/>
        <v>30.224550704205992</v>
      </c>
      <c r="CD7" s="14">
        <f t="shared" si="39"/>
        <v>99.915869976649688</v>
      </c>
      <c r="CE7" s="11">
        <v>361341</v>
      </c>
      <c r="CF7" s="12">
        <v>9577597</v>
      </c>
      <c r="CG7" s="13">
        <f t="shared" si="40"/>
        <v>26.505702369783666</v>
      </c>
      <c r="CH7" s="14">
        <f t="shared" si="41"/>
        <v>87.622156489179574</v>
      </c>
      <c r="CI7" s="11">
        <v>769521</v>
      </c>
      <c r="CJ7" s="12">
        <v>36413143</v>
      </c>
      <c r="CK7" s="13">
        <f t="shared" si="42"/>
        <v>47.319232353632977</v>
      </c>
      <c r="CL7" s="14">
        <f t="shared" si="43"/>
        <v>156.42721420446247</v>
      </c>
      <c r="CM7" s="11">
        <v>522592</v>
      </c>
      <c r="CN7" s="12">
        <v>20713834</v>
      </c>
      <c r="CO7" s="13">
        <f t="shared" si="44"/>
        <v>39.636722337885004</v>
      </c>
      <c r="CP7" s="14">
        <f t="shared" si="45"/>
        <v>131.03048691015186</v>
      </c>
      <c r="CQ7" s="11">
        <v>629812</v>
      </c>
      <c r="CR7" s="12">
        <v>24095807</v>
      </c>
      <c r="CS7" s="13">
        <f t="shared" si="46"/>
        <v>38.258729589147237</v>
      </c>
      <c r="CT7" s="14">
        <f t="shared" si="47"/>
        <v>126.47513898590664</v>
      </c>
      <c r="CU7" s="11">
        <v>530454</v>
      </c>
      <c r="CV7" s="12">
        <v>15670166</v>
      </c>
      <c r="CW7" s="13">
        <f t="shared" si="48"/>
        <v>29.541045971941017</v>
      </c>
      <c r="CX7" s="14">
        <f t="shared" si="49"/>
        <v>97.656350203278549</v>
      </c>
      <c r="CY7" s="11">
        <v>704081</v>
      </c>
      <c r="CZ7" s="12">
        <v>25256331</v>
      </c>
      <c r="DA7" s="13">
        <f t="shared" si="50"/>
        <v>35.871342927873357</v>
      </c>
      <c r="DB7" s="14">
        <f t="shared" si="51"/>
        <v>118.58295168538098</v>
      </c>
      <c r="DC7" s="11">
        <v>521230</v>
      </c>
      <c r="DD7" s="12">
        <v>15818107</v>
      </c>
      <c r="DE7" s="13">
        <f t="shared" si="52"/>
        <v>30.347652667728259</v>
      </c>
      <c r="DF7" s="14">
        <f t="shared" si="53"/>
        <v>100.32281861590438</v>
      </c>
      <c r="DG7" s="11">
        <v>539736</v>
      </c>
      <c r="DH7" s="12">
        <v>20160905</v>
      </c>
      <c r="DI7" s="13">
        <f t="shared" si="54"/>
        <v>37.35327085834556</v>
      </c>
      <c r="DJ7" s="14">
        <f t="shared" si="55"/>
        <v>123.48188698684838</v>
      </c>
      <c r="DK7" s="11">
        <v>765476</v>
      </c>
      <c r="DL7" s="12">
        <v>27470352</v>
      </c>
      <c r="DM7" s="13">
        <f t="shared" si="56"/>
        <v>35.886627405692664</v>
      </c>
      <c r="DN7" s="14">
        <f t="shared" si="57"/>
        <v>118.633478884723</v>
      </c>
      <c r="DO7" s="11">
        <v>461489</v>
      </c>
      <c r="DP7" s="12">
        <v>15973688</v>
      </c>
      <c r="DQ7" s="13">
        <f t="shared" si="58"/>
        <v>34.613366732468165</v>
      </c>
      <c r="DR7" s="14">
        <f t="shared" si="59"/>
        <v>114.42435269729629</v>
      </c>
      <c r="DS7" s="11">
        <v>541315</v>
      </c>
      <c r="DT7" s="12">
        <v>16496767</v>
      </c>
      <c r="DU7" s="13">
        <f t="shared" si="60"/>
        <v>30.475355384572755</v>
      </c>
      <c r="DV7" s="14">
        <f t="shared" si="61"/>
        <v>100.74497635703248</v>
      </c>
      <c r="DW7" s="11">
        <v>515771</v>
      </c>
      <c r="DX7" s="12">
        <v>15552540</v>
      </c>
      <c r="DY7" s="13">
        <f t="shared" si="62"/>
        <v>30.153963677678661</v>
      </c>
      <c r="DZ7" s="14">
        <f t="shared" si="63"/>
        <v>99.682524434690592</v>
      </c>
      <c r="EA7" s="11">
        <v>664134</v>
      </c>
      <c r="EB7" s="12">
        <v>28924634</v>
      </c>
      <c r="EC7" s="13">
        <f t="shared" si="64"/>
        <v>43.552406592645461</v>
      </c>
      <c r="ED7" s="14">
        <f t="shared" si="65"/>
        <v>143.97489765415727</v>
      </c>
      <c r="EE7" s="11">
        <v>588359</v>
      </c>
      <c r="EF7" s="12">
        <v>19307098</v>
      </c>
      <c r="EG7" s="13">
        <f t="shared" si="66"/>
        <v>32.815165570680485</v>
      </c>
      <c r="EH7" s="14">
        <f t="shared" si="67"/>
        <v>108.47988605389185</v>
      </c>
      <c r="EI7" s="11">
        <v>584507</v>
      </c>
      <c r="EJ7" s="12">
        <v>24734102</v>
      </c>
      <c r="EK7" s="13">
        <f t="shared" si="68"/>
        <v>42.316177565024887</v>
      </c>
      <c r="EL7" s="14">
        <f t="shared" si="69"/>
        <v>139.8881901297371</v>
      </c>
      <c r="EM7" s="11">
        <v>458530</v>
      </c>
      <c r="EN7" s="12">
        <v>13199930</v>
      </c>
      <c r="EO7" s="13">
        <f t="shared" si="70"/>
        <v>28.787494820404337</v>
      </c>
      <c r="EP7" s="14">
        <f t="shared" si="71"/>
        <v>95.165272019369723</v>
      </c>
      <c r="EQ7" s="11">
        <v>498123</v>
      </c>
      <c r="ER7" s="12">
        <v>16397926</v>
      </c>
      <c r="ES7" s="13">
        <f t="shared" si="72"/>
        <v>32.919431546023773</v>
      </c>
      <c r="ET7" s="14">
        <f t="shared" si="73"/>
        <v>108.82456696370399</v>
      </c>
      <c r="EU7" s="11">
        <v>361898</v>
      </c>
      <c r="EV7" s="12">
        <v>14097828.59613</v>
      </c>
      <c r="EW7" s="13">
        <f t="shared" si="74"/>
        <v>38.9552542322146</v>
      </c>
      <c r="EX7" s="14">
        <f t="shared" si="75"/>
        <v>128.77769978667203</v>
      </c>
      <c r="EY7" s="11">
        <v>448540</v>
      </c>
      <c r="EZ7" s="12">
        <v>20530172.243639998</v>
      </c>
      <c r="FA7" s="13">
        <f t="shared" si="76"/>
        <v>45.771106799036872</v>
      </c>
      <c r="FB7" s="14">
        <f t="shared" si="77"/>
        <v>151.30944378218692</v>
      </c>
      <c r="FC7" s="11">
        <v>407575</v>
      </c>
      <c r="FD7" s="12">
        <v>14030443.00471</v>
      </c>
      <c r="FE7" s="13">
        <f t="shared" si="78"/>
        <v>34.424199238692267</v>
      </c>
      <c r="FF7" s="14">
        <f t="shared" si="79"/>
        <v>113.79900561118423</v>
      </c>
      <c r="FG7" s="11">
        <v>619321</v>
      </c>
      <c r="FH7" s="12">
        <v>21840277.457979999</v>
      </c>
      <c r="FI7" s="13">
        <f t="shared" si="80"/>
        <v>35.264874690152602</v>
      </c>
      <c r="FJ7" s="14">
        <f t="shared" si="81"/>
        <v>116.57809800937108</v>
      </c>
      <c r="FK7" s="11">
        <v>595452</v>
      </c>
      <c r="FL7" s="12">
        <v>26572300.914469998</v>
      </c>
      <c r="FM7" s="13">
        <f t="shared" si="82"/>
        <v>44.625428942164937</v>
      </c>
      <c r="FN7" s="14">
        <f t="shared" si="83"/>
        <v>147.52207897062618</v>
      </c>
      <c r="FO7" s="11"/>
      <c r="FP7" s="12"/>
      <c r="FQ7" s="13" t="e">
        <f t="shared" si="84"/>
        <v>#DIV/0!</v>
      </c>
      <c r="FR7" s="14" t="e">
        <f t="shared" si="85"/>
        <v>#DIV/0!</v>
      </c>
      <c r="FS7" s="11"/>
      <c r="FT7" s="12"/>
      <c r="FU7" s="13" t="e">
        <f t="shared" si="86"/>
        <v>#DIV/0!</v>
      </c>
      <c r="FV7" s="14" t="e">
        <f t="shared" si="87"/>
        <v>#DIV/0!</v>
      </c>
      <c r="FW7" s="11"/>
      <c r="FX7" s="12"/>
      <c r="FY7" s="13" t="e">
        <f t="shared" si="88"/>
        <v>#DIV/0!</v>
      </c>
      <c r="FZ7" s="14" t="e">
        <f t="shared" si="89"/>
        <v>#DIV/0!</v>
      </c>
    </row>
    <row r="8" spans="1:194">
      <c r="B8" s="2" t="s">
        <v>3</v>
      </c>
      <c r="C8" s="11">
        <v>6068912</v>
      </c>
      <c r="D8" s="12">
        <v>71338916</v>
      </c>
      <c r="E8" s="13">
        <f t="shared" si="0"/>
        <v>11.754811406064217</v>
      </c>
      <c r="F8" s="14">
        <f t="shared" si="1"/>
        <v>38.858880634573367</v>
      </c>
      <c r="G8" s="11">
        <v>835125</v>
      </c>
      <c r="H8" s="12">
        <v>10518520</v>
      </c>
      <c r="I8" s="13">
        <f t="shared" si="2"/>
        <v>12.595144439455172</v>
      </c>
      <c r="J8" s="14">
        <f t="shared" si="3"/>
        <v>41.636841072201648</v>
      </c>
      <c r="K8" s="11">
        <v>775039</v>
      </c>
      <c r="L8" s="12">
        <v>10489793</v>
      </c>
      <c r="M8" s="13">
        <f t="shared" si="4"/>
        <v>13.534535681430224</v>
      </c>
      <c r="N8" s="14">
        <f t="shared" si="5"/>
        <v>44.742266661781095</v>
      </c>
      <c r="O8" s="11">
        <v>912194</v>
      </c>
      <c r="P8" s="12">
        <v>11744726</v>
      </c>
      <c r="Q8" s="13">
        <f t="shared" si="6"/>
        <v>12.875250220895994</v>
      </c>
      <c r="R8" s="14">
        <f t="shared" si="7"/>
        <v>42.562810596514687</v>
      </c>
      <c r="S8" s="11">
        <v>881069</v>
      </c>
      <c r="T8" s="12">
        <v>11962789</v>
      </c>
      <c r="U8" s="13">
        <f t="shared" si="8"/>
        <v>13.577584729459327</v>
      </c>
      <c r="V8" s="14">
        <f t="shared" si="9"/>
        <v>44.884577564185868</v>
      </c>
      <c r="W8" s="11">
        <v>852317</v>
      </c>
      <c r="X8" s="12">
        <v>11001456</v>
      </c>
      <c r="Y8" s="13">
        <f t="shared" si="10"/>
        <v>12.907704527775463</v>
      </c>
      <c r="Z8" s="14">
        <f t="shared" si="11"/>
        <v>42.670097561276755</v>
      </c>
      <c r="AA8" s="11">
        <v>963165</v>
      </c>
      <c r="AB8" s="12">
        <v>13762764</v>
      </c>
      <c r="AC8" s="13">
        <f t="shared" si="12"/>
        <v>14.289103113173756</v>
      </c>
      <c r="AD8" s="14">
        <f t="shared" si="13"/>
        <v>47.236704449675479</v>
      </c>
      <c r="AE8" s="11">
        <v>931010</v>
      </c>
      <c r="AF8" s="12">
        <v>14396013</v>
      </c>
      <c r="AG8" s="13">
        <f t="shared" si="14"/>
        <v>15.462790947465656</v>
      </c>
      <c r="AH8" s="14">
        <f t="shared" si="15"/>
        <v>51.116664227802666</v>
      </c>
      <c r="AI8" s="11">
        <v>660707</v>
      </c>
      <c r="AJ8" s="12">
        <v>9569279</v>
      </c>
      <c r="AK8" s="13">
        <f t="shared" si="16"/>
        <v>14.483392789844817</v>
      </c>
      <c r="AL8" s="14">
        <f t="shared" si="17"/>
        <v>47.878984371784284</v>
      </c>
      <c r="AM8" s="11">
        <v>572632</v>
      </c>
      <c r="AN8" s="12">
        <v>8144155</v>
      </c>
      <c r="AO8" s="13">
        <f t="shared" si="18"/>
        <v>14.222319046088936</v>
      </c>
      <c r="AP8" s="14">
        <f t="shared" si="19"/>
        <v>47.015930674453401</v>
      </c>
      <c r="AQ8" s="11">
        <v>462154</v>
      </c>
      <c r="AR8" s="12">
        <v>7709515</v>
      </c>
      <c r="AS8" s="13">
        <f t="shared" si="20"/>
        <v>16.681701337649354</v>
      </c>
      <c r="AT8" s="14">
        <f t="shared" si="21"/>
        <v>55.146120058285327</v>
      </c>
      <c r="AU8" s="11">
        <v>600119</v>
      </c>
      <c r="AV8" s="12">
        <v>8565731</v>
      </c>
      <c r="AW8" s="13">
        <f t="shared" si="22"/>
        <v>14.273387444823443</v>
      </c>
      <c r="AX8" s="14">
        <f t="shared" si="23"/>
        <v>47.184751827092157</v>
      </c>
      <c r="AY8" s="11">
        <v>672464</v>
      </c>
      <c r="AZ8" s="12">
        <v>9951811</v>
      </c>
      <c r="BA8" s="13">
        <f t="shared" si="24"/>
        <v>14.799024185681315</v>
      </c>
      <c r="BB8" s="14">
        <f t="shared" si="25"/>
        <v>48.922393943545408</v>
      </c>
      <c r="BC8" s="11">
        <v>674938</v>
      </c>
      <c r="BD8" s="12">
        <v>10530530</v>
      </c>
      <c r="BE8" s="13">
        <f t="shared" si="26"/>
        <v>15.602218277827001</v>
      </c>
      <c r="BF8" s="14">
        <f t="shared" si="27"/>
        <v>51.577581021832522</v>
      </c>
      <c r="BG8" s="11">
        <v>900471</v>
      </c>
      <c r="BH8" s="12">
        <v>12993465</v>
      </c>
      <c r="BI8" s="13">
        <f t="shared" si="28"/>
        <v>14.429631826011054</v>
      </c>
      <c r="BJ8" s="14">
        <f t="shared" si="29"/>
        <v>47.701262177505768</v>
      </c>
      <c r="BK8" s="11">
        <v>346787</v>
      </c>
      <c r="BL8" s="12">
        <v>5546101</v>
      </c>
      <c r="BM8" s="13">
        <f t="shared" si="30"/>
        <v>15.992816916435737</v>
      </c>
      <c r="BN8" s="14">
        <f t="shared" si="31"/>
        <v>52.868816189237542</v>
      </c>
      <c r="BO8" s="11">
        <v>1025089</v>
      </c>
      <c r="BP8" s="12">
        <v>14773342</v>
      </c>
      <c r="BQ8" s="13">
        <f t="shared" si="32"/>
        <v>14.411765222336792</v>
      </c>
      <c r="BR8" s="14">
        <f t="shared" si="33"/>
        <v>47.642199024934456</v>
      </c>
      <c r="BS8" s="11">
        <v>564527</v>
      </c>
      <c r="BT8" s="12">
        <v>8541089</v>
      </c>
      <c r="BU8" s="13">
        <f t="shared" si="34"/>
        <v>15.129637732119102</v>
      </c>
      <c r="BV8" s="14">
        <f t="shared" si="35"/>
        <v>50.015331285829873</v>
      </c>
      <c r="BW8" s="11">
        <v>498046</v>
      </c>
      <c r="BX8" s="12">
        <v>8652166</v>
      </c>
      <c r="BY8" s="13">
        <f t="shared" si="36"/>
        <v>17.372222646100962</v>
      </c>
      <c r="BZ8" s="14">
        <f t="shared" si="37"/>
        <v>57.428835124807584</v>
      </c>
      <c r="CA8" s="11">
        <v>489596</v>
      </c>
      <c r="CB8" s="12">
        <v>7565679</v>
      </c>
      <c r="CC8" s="13">
        <f t="shared" si="38"/>
        <v>15.452901984493337</v>
      </c>
      <c r="CD8" s="14">
        <f t="shared" si="39"/>
        <v>51.083973441156544</v>
      </c>
      <c r="CE8" s="11">
        <v>674749</v>
      </c>
      <c r="CF8" s="12">
        <v>11295329</v>
      </c>
      <c r="CG8" s="13">
        <f t="shared" si="40"/>
        <v>16.740045557681448</v>
      </c>
      <c r="CH8" s="14">
        <f t="shared" si="41"/>
        <v>55.338993512705429</v>
      </c>
      <c r="CI8" s="11">
        <v>566910</v>
      </c>
      <c r="CJ8" s="12">
        <v>10583923</v>
      </c>
      <c r="CK8" s="13">
        <f t="shared" si="42"/>
        <v>18.669494275987372</v>
      </c>
      <c r="CL8" s="14">
        <f t="shared" si="43"/>
        <v>61.717336375484223</v>
      </c>
      <c r="CM8" s="11">
        <v>813132</v>
      </c>
      <c r="CN8" s="12">
        <v>17541418</v>
      </c>
      <c r="CO8" s="13">
        <f t="shared" si="44"/>
        <v>21.572657329929211</v>
      </c>
      <c r="CP8" s="14">
        <f t="shared" si="45"/>
        <v>71.31456960013891</v>
      </c>
      <c r="CQ8" s="11">
        <v>431285</v>
      </c>
      <c r="CR8" s="12">
        <v>7939075</v>
      </c>
      <c r="CS8" s="13">
        <f t="shared" si="46"/>
        <v>18.407955296381743</v>
      </c>
      <c r="CT8" s="14">
        <f t="shared" si="47"/>
        <v>60.852744708403954</v>
      </c>
      <c r="CU8" s="11">
        <v>547167</v>
      </c>
      <c r="CV8" s="12">
        <v>8335203</v>
      </c>
      <c r="CW8" s="13">
        <f t="shared" si="48"/>
        <v>15.233380302540175</v>
      </c>
      <c r="CX8" s="14">
        <f t="shared" si="49"/>
        <v>50.358281931438405</v>
      </c>
      <c r="CY8" s="11">
        <v>471248</v>
      </c>
      <c r="CZ8" s="12">
        <v>7460266</v>
      </c>
      <c r="DA8" s="13">
        <f t="shared" si="50"/>
        <v>15.830870369741623</v>
      </c>
      <c r="DB8" s="14">
        <f t="shared" si="51"/>
        <v>52.333455704940754</v>
      </c>
      <c r="DC8" s="11">
        <v>769671</v>
      </c>
      <c r="DD8" s="12">
        <v>12584915</v>
      </c>
      <c r="DE8" s="13">
        <f t="shared" si="52"/>
        <v>16.351031804498284</v>
      </c>
      <c r="DF8" s="14">
        <f t="shared" si="53"/>
        <v>54.052997635957176</v>
      </c>
      <c r="DG8" s="11">
        <v>535000</v>
      </c>
      <c r="DH8" s="12">
        <v>9907385</v>
      </c>
      <c r="DI8" s="13">
        <f t="shared" si="54"/>
        <v>18.51847663551402</v>
      </c>
      <c r="DJ8" s="14">
        <f t="shared" si="55"/>
        <v>61.21810450674991</v>
      </c>
      <c r="DK8" s="11">
        <v>633476</v>
      </c>
      <c r="DL8" s="12">
        <v>11687494</v>
      </c>
      <c r="DM8" s="13">
        <f t="shared" si="56"/>
        <v>18.449781838617405</v>
      </c>
      <c r="DN8" s="14">
        <f t="shared" si="57"/>
        <v>60.991014269347659</v>
      </c>
      <c r="DO8" s="11">
        <v>534316</v>
      </c>
      <c r="DP8" s="12">
        <v>8145786</v>
      </c>
      <c r="DQ8" s="13">
        <f t="shared" si="58"/>
        <v>15.245259359629882</v>
      </c>
      <c r="DR8" s="14">
        <f t="shared" si="59"/>
        <v>50.397551541605189</v>
      </c>
      <c r="DS8" s="11">
        <v>824075</v>
      </c>
      <c r="DT8" s="12">
        <v>13859993</v>
      </c>
      <c r="DU8" s="13">
        <f t="shared" si="60"/>
        <v>16.818849012529199</v>
      </c>
      <c r="DV8" s="14">
        <f t="shared" si="61"/>
        <v>55.599500801145716</v>
      </c>
      <c r="DW8" s="11">
        <v>533993</v>
      </c>
      <c r="DX8" s="12">
        <v>9059516</v>
      </c>
      <c r="DY8" s="13">
        <f t="shared" si="62"/>
        <v>16.965608163402891</v>
      </c>
      <c r="DZ8" s="14">
        <f t="shared" si="63"/>
        <v>56.084655018327801</v>
      </c>
      <c r="EA8" s="11">
        <v>422016</v>
      </c>
      <c r="EB8" s="12">
        <v>10597770</v>
      </c>
      <c r="EC8" s="13">
        <f t="shared" si="64"/>
        <v>25.112246929026387</v>
      </c>
      <c r="ED8" s="14">
        <f t="shared" si="65"/>
        <v>83.015692227741127</v>
      </c>
      <c r="EE8" s="11">
        <v>918818</v>
      </c>
      <c r="EF8" s="12">
        <v>16429638</v>
      </c>
      <c r="EG8" s="13">
        <f t="shared" si="66"/>
        <v>17.881275725987084</v>
      </c>
      <c r="EH8" s="14">
        <f t="shared" si="67"/>
        <v>59.111655221585302</v>
      </c>
      <c r="EI8" s="11">
        <v>672820</v>
      </c>
      <c r="EJ8" s="12">
        <v>10715865</v>
      </c>
      <c r="EK8" s="13">
        <f t="shared" si="68"/>
        <v>15.926793198775304</v>
      </c>
      <c r="EL8" s="14">
        <f t="shared" si="69"/>
        <v>52.650555965828602</v>
      </c>
      <c r="EM8" s="11">
        <v>859998</v>
      </c>
      <c r="EN8" s="12">
        <v>17432970</v>
      </c>
      <c r="EO8" s="13">
        <f t="shared" si="70"/>
        <v>20.270942490563932</v>
      </c>
      <c r="EP8" s="14">
        <f t="shared" si="71"/>
        <v>67.011380053681989</v>
      </c>
      <c r="EQ8" s="11">
        <v>685091</v>
      </c>
      <c r="ER8" s="12">
        <v>12932026</v>
      </c>
      <c r="ES8" s="13">
        <f t="shared" si="72"/>
        <v>18.876362410249151</v>
      </c>
      <c r="ET8" s="14">
        <f t="shared" si="73"/>
        <v>62.401197975528973</v>
      </c>
      <c r="EU8" s="11">
        <v>637391</v>
      </c>
      <c r="EV8" s="12">
        <v>14475454.82282</v>
      </c>
      <c r="EW8" s="13">
        <f t="shared" si="74"/>
        <v>22.710478847081305</v>
      </c>
      <c r="EX8" s="14">
        <f t="shared" si="75"/>
        <v>75.075963040756136</v>
      </c>
      <c r="EY8" s="11">
        <v>846196</v>
      </c>
      <c r="EZ8" s="12">
        <v>17147340.940609999</v>
      </c>
      <c r="FA8" s="13">
        <f t="shared" si="76"/>
        <v>20.264029776328414</v>
      </c>
      <c r="FB8" s="14">
        <f t="shared" si="77"/>
        <v>66.988528105823391</v>
      </c>
      <c r="FC8" s="11">
        <v>450890</v>
      </c>
      <c r="FD8" s="12">
        <v>8036493.1054800004</v>
      </c>
      <c r="FE8" s="13">
        <f t="shared" si="78"/>
        <v>17.823622403424338</v>
      </c>
      <c r="FF8" s="14">
        <f t="shared" si="79"/>
        <v>58.921065725738814</v>
      </c>
      <c r="FG8" s="11">
        <v>462406</v>
      </c>
      <c r="FH8" s="12">
        <v>9510154.6068999991</v>
      </c>
      <c r="FI8" s="13">
        <f t="shared" si="80"/>
        <v>20.566676485382974</v>
      </c>
      <c r="FJ8" s="14">
        <f t="shared" si="81"/>
        <v>67.989013093232927</v>
      </c>
      <c r="FK8" s="11">
        <v>655850</v>
      </c>
      <c r="FL8" s="12">
        <v>14292665.623269999</v>
      </c>
      <c r="FM8" s="13">
        <f t="shared" si="82"/>
        <v>21.79258309563162</v>
      </c>
      <c r="FN8" s="14">
        <f t="shared" si="83"/>
        <v>72.041596923902546</v>
      </c>
      <c r="FO8" s="11"/>
      <c r="FP8" s="12"/>
      <c r="FQ8" s="13" t="e">
        <f t="shared" si="84"/>
        <v>#DIV/0!</v>
      </c>
      <c r="FR8" s="14" t="e">
        <f t="shared" si="85"/>
        <v>#DIV/0!</v>
      </c>
      <c r="FS8" s="11"/>
      <c r="FT8" s="12"/>
      <c r="FU8" s="13" t="e">
        <f t="shared" si="86"/>
        <v>#DIV/0!</v>
      </c>
      <c r="FV8" s="14" t="e">
        <f t="shared" si="87"/>
        <v>#DIV/0!</v>
      </c>
      <c r="FW8" s="11"/>
      <c r="FX8" s="12"/>
      <c r="FY8" s="13" t="e">
        <f t="shared" si="88"/>
        <v>#DIV/0!</v>
      </c>
      <c r="FZ8" s="14" t="e">
        <f t="shared" si="89"/>
        <v>#DIV/0!</v>
      </c>
    </row>
    <row r="9" spans="1:194">
      <c r="B9" s="2" t="s">
        <v>4</v>
      </c>
      <c r="C9" s="11">
        <v>1386294</v>
      </c>
      <c r="D9" s="12">
        <v>32660664</v>
      </c>
      <c r="E9" s="13">
        <f t="shared" si="0"/>
        <v>23.559695129604542</v>
      </c>
      <c r="F9" s="14">
        <f t="shared" si="1"/>
        <v>77.883289591183157</v>
      </c>
      <c r="G9" s="11">
        <v>41707</v>
      </c>
      <c r="H9" s="12">
        <v>1257098</v>
      </c>
      <c r="I9" s="13">
        <f t="shared" si="2"/>
        <v>30.141175342268685</v>
      </c>
      <c r="J9" s="14">
        <f t="shared" si="3"/>
        <v>99.64024894578273</v>
      </c>
      <c r="K9" s="11">
        <v>46099</v>
      </c>
      <c r="L9" s="12">
        <v>817146</v>
      </c>
      <c r="M9" s="13">
        <f t="shared" si="4"/>
        <v>17.725894271025403</v>
      </c>
      <c r="N9" s="14">
        <f t="shared" si="5"/>
        <v>58.597997519849024</v>
      </c>
      <c r="O9" s="11">
        <v>28892</v>
      </c>
      <c r="P9" s="12">
        <v>615910</v>
      </c>
      <c r="Q9" s="13">
        <f t="shared" si="6"/>
        <v>21.317665789838017</v>
      </c>
      <c r="R9" s="14">
        <f t="shared" si="7"/>
        <v>70.471622361179556</v>
      </c>
      <c r="S9" s="11">
        <v>55420</v>
      </c>
      <c r="T9" s="12">
        <v>1672270</v>
      </c>
      <c r="U9" s="13">
        <f t="shared" si="8"/>
        <v>30.174485745218334</v>
      </c>
      <c r="V9" s="14">
        <f t="shared" si="9"/>
        <v>99.750365980194871</v>
      </c>
      <c r="W9" s="11">
        <v>101064</v>
      </c>
      <c r="X9" s="12">
        <v>3428795</v>
      </c>
      <c r="Y9" s="13">
        <f t="shared" si="10"/>
        <v>33.926967070371248</v>
      </c>
      <c r="Z9" s="14">
        <f t="shared" si="11"/>
        <v>112.15526290796326</v>
      </c>
      <c r="AA9" s="11">
        <v>159002</v>
      </c>
      <c r="AB9" s="12">
        <v>4075445</v>
      </c>
      <c r="AC9" s="13">
        <f t="shared" si="12"/>
        <v>25.631407152111294</v>
      </c>
      <c r="AD9" s="14">
        <f t="shared" si="13"/>
        <v>84.731924368111095</v>
      </c>
      <c r="AE9" s="11">
        <v>104728</v>
      </c>
      <c r="AF9" s="12">
        <v>2873377</v>
      </c>
      <c r="AG9" s="13">
        <f t="shared" si="14"/>
        <v>27.436569016881826</v>
      </c>
      <c r="AH9" s="14">
        <f t="shared" si="15"/>
        <v>90.699401599860963</v>
      </c>
      <c r="AI9" s="11">
        <v>144121</v>
      </c>
      <c r="AJ9" s="12">
        <v>5453098</v>
      </c>
      <c r="AK9" s="13">
        <f t="shared" si="16"/>
        <v>37.836942569091249</v>
      </c>
      <c r="AL9" s="14">
        <f t="shared" si="17"/>
        <v>125.08080173119642</v>
      </c>
      <c r="AM9" s="11">
        <v>72391</v>
      </c>
      <c r="AN9" s="12">
        <v>1663524</v>
      </c>
      <c r="AO9" s="13">
        <f t="shared" si="18"/>
        <v>22.979707422193368</v>
      </c>
      <c r="AP9" s="14">
        <f t="shared" si="19"/>
        <v>75.965974858240386</v>
      </c>
      <c r="AQ9" s="11">
        <v>109123</v>
      </c>
      <c r="AR9" s="12">
        <v>2766055</v>
      </c>
      <c r="AS9" s="13">
        <f t="shared" si="20"/>
        <v>25.348047615992961</v>
      </c>
      <c r="AT9" s="14">
        <f t="shared" si="21"/>
        <v>83.795198630000996</v>
      </c>
      <c r="AU9" s="11">
        <v>202225</v>
      </c>
      <c r="AV9" s="12">
        <v>6923977</v>
      </c>
      <c r="AW9" s="13">
        <f t="shared" si="22"/>
        <v>34.238976387686982</v>
      </c>
      <c r="AX9" s="14">
        <f t="shared" si="23"/>
        <v>113.18669866644697</v>
      </c>
      <c r="AY9" s="11">
        <v>43313</v>
      </c>
      <c r="AZ9" s="12">
        <v>1096098</v>
      </c>
      <c r="BA9" s="13">
        <f t="shared" si="24"/>
        <v>25.306443792856648</v>
      </c>
      <c r="BB9" s="14">
        <f t="shared" si="25"/>
        <v>83.65766533054186</v>
      </c>
      <c r="BC9" s="11">
        <v>39246</v>
      </c>
      <c r="BD9" s="12">
        <v>944029</v>
      </c>
      <c r="BE9" s="13">
        <f t="shared" si="26"/>
        <v>24.054145645416092</v>
      </c>
      <c r="BF9" s="14">
        <f t="shared" si="27"/>
        <v>79.517836748929312</v>
      </c>
      <c r="BG9" s="11">
        <v>59265</v>
      </c>
      <c r="BH9" s="12">
        <v>1946253</v>
      </c>
      <c r="BI9" s="13">
        <f t="shared" si="28"/>
        <v>32.83983801569223</v>
      </c>
      <c r="BJ9" s="14">
        <f t="shared" si="29"/>
        <v>108.5614478554857</v>
      </c>
      <c r="BK9" s="11">
        <v>63893</v>
      </c>
      <c r="BL9" s="12">
        <v>1200093</v>
      </c>
      <c r="BM9" s="13">
        <f t="shared" si="30"/>
        <v>18.782855711893323</v>
      </c>
      <c r="BN9" s="14">
        <f t="shared" si="31"/>
        <v>62.092084923483952</v>
      </c>
      <c r="BO9" s="11">
        <v>113460</v>
      </c>
      <c r="BP9" s="12">
        <v>2994431</v>
      </c>
      <c r="BQ9" s="13">
        <f t="shared" si="32"/>
        <v>26.391953111228627</v>
      </c>
      <c r="BR9" s="14">
        <f t="shared" si="33"/>
        <v>87.246125882837305</v>
      </c>
      <c r="BS9" s="11">
        <v>59127</v>
      </c>
      <c r="BT9" s="12">
        <v>1557736</v>
      </c>
      <c r="BU9" s="13">
        <f t="shared" si="34"/>
        <v>26.345595075008035</v>
      </c>
      <c r="BV9" s="14">
        <f t="shared" si="35"/>
        <v>87.092876176506849</v>
      </c>
      <c r="BW9" s="11">
        <v>74781</v>
      </c>
      <c r="BX9" s="12">
        <v>2690113</v>
      </c>
      <c r="BY9" s="13">
        <f t="shared" si="36"/>
        <v>35.973215121488082</v>
      </c>
      <c r="BZ9" s="14">
        <f t="shared" si="37"/>
        <v>118.91971926717429</v>
      </c>
      <c r="CA9" s="11">
        <v>95736</v>
      </c>
      <c r="CB9" s="12">
        <v>5035463</v>
      </c>
      <c r="CC9" s="13">
        <f t="shared" si="38"/>
        <v>52.597382384891787</v>
      </c>
      <c r="CD9" s="14">
        <f t="shared" si="39"/>
        <v>173.87564403892537</v>
      </c>
      <c r="CE9" s="11">
        <v>42496</v>
      </c>
      <c r="CF9" s="12">
        <v>1340424</v>
      </c>
      <c r="CG9" s="13">
        <f t="shared" si="40"/>
        <v>31.542356927710845</v>
      </c>
      <c r="CH9" s="14">
        <f t="shared" si="41"/>
        <v>104.27225418135542</v>
      </c>
      <c r="CI9" s="11">
        <v>66248</v>
      </c>
      <c r="CJ9" s="12">
        <v>1746260</v>
      </c>
      <c r="CK9" s="13">
        <f t="shared" si="42"/>
        <v>26.359437266030671</v>
      </c>
      <c r="CL9" s="14">
        <f t="shared" si="43"/>
        <v>87.138635485617669</v>
      </c>
      <c r="CM9" s="11">
        <v>93038</v>
      </c>
      <c r="CN9" s="12">
        <v>2863704</v>
      </c>
      <c r="CO9" s="13">
        <f t="shared" si="44"/>
        <v>30.779939379608333</v>
      </c>
      <c r="CP9" s="14">
        <f t="shared" si="45"/>
        <v>101.75186559561125</v>
      </c>
      <c r="CQ9" s="11">
        <v>84806</v>
      </c>
      <c r="CR9" s="12">
        <v>3555254</v>
      </c>
      <c r="CS9" s="13">
        <f t="shared" si="46"/>
        <v>41.922198901021154</v>
      </c>
      <c r="CT9" s="14">
        <f t="shared" si="47"/>
        <v>138.58578132467608</v>
      </c>
      <c r="CU9" s="11">
        <v>27220</v>
      </c>
      <c r="CV9" s="12">
        <v>791133</v>
      </c>
      <c r="CW9" s="13">
        <f t="shared" si="48"/>
        <v>29.064401175606172</v>
      </c>
      <c r="CX9" s="14">
        <f t="shared" si="49"/>
        <v>96.080664928029393</v>
      </c>
      <c r="CY9" s="11">
        <v>67724</v>
      </c>
      <c r="CZ9" s="12">
        <v>2787558</v>
      </c>
      <c r="DA9" s="13">
        <f t="shared" si="50"/>
        <v>41.160563463469373</v>
      </c>
      <c r="DB9" s="14">
        <f t="shared" si="51"/>
        <v>136.0679782283527</v>
      </c>
      <c r="DC9" s="11">
        <v>79088</v>
      </c>
      <c r="DD9" s="12">
        <v>2635389</v>
      </c>
      <c r="DE9" s="13">
        <f t="shared" si="52"/>
        <v>33.3222359902893</v>
      </c>
      <c r="DF9" s="14">
        <f t="shared" si="53"/>
        <v>110.15615190182683</v>
      </c>
      <c r="DG9" s="11">
        <v>59923</v>
      </c>
      <c r="DH9" s="12">
        <v>1746024</v>
      </c>
      <c r="DI9" s="13">
        <f t="shared" si="54"/>
        <v>29.137793501660465</v>
      </c>
      <c r="DJ9" s="14">
        <f t="shared" si="55"/>
        <v>96.323284187421862</v>
      </c>
      <c r="DK9" s="11">
        <v>96462</v>
      </c>
      <c r="DL9" s="12">
        <v>3082989</v>
      </c>
      <c r="DM9" s="13">
        <f t="shared" si="56"/>
        <v>31.96065808297568</v>
      </c>
      <c r="DN9" s="14">
        <f t="shared" si="57"/>
        <v>105.65506791610872</v>
      </c>
      <c r="DO9" s="11">
        <v>41794</v>
      </c>
      <c r="DP9" s="12">
        <v>1429051</v>
      </c>
      <c r="DQ9" s="13">
        <f t="shared" si="58"/>
        <v>34.192731014021149</v>
      </c>
      <c r="DR9" s="14">
        <f t="shared" si="59"/>
        <v>113.03382139831362</v>
      </c>
      <c r="DS9" s="11">
        <v>60645</v>
      </c>
      <c r="DT9" s="12">
        <v>1714198</v>
      </c>
      <c r="DU9" s="13">
        <f t="shared" si="60"/>
        <v>28.266106026877733</v>
      </c>
      <c r="DV9" s="14">
        <f t="shared" si="61"/>
        <v>93.441672703994726</v>
      </c>
      <c r="DW9" s="11">
        <v>76047</v>
      </c>
      <c r="DX9" s="12">
        <v>3006457</v>
      </c>
      <c r="DY9" s="13">
        <f t="shared" si="62"/>
        <v>39.534195957762961</v>
      </c>
      <c r="DZ9" s="14">
        <f t="shared" si="63"/>
        <v>130.69155672833693</v>
      </c>
      <c r="EA9" s="11">
        <v>38811</v>
      </c>
      <c r="EB9" s="12">
        <v>1172992</v>
      </c>
      <c r="EC9" s="13">
        <f t="shared" si="64"/>
        <v>30.223184148823787</v>
      </c>
      <c r="ED9" s="14">
        <f t="shared" si="65"/>
        <v>99.911352438201533</v>
      </c>
      <c r="EE9" s="11">
        <v>97907</v>
      </c>
      <c r="EF9" s="12">
        <v>3537671</v>
      </c>
      <c r="EG9" s="13">
        <f t="shared" si="66"/>
        <v>36.132973127559829</v>
      </c>
      <c r="EH9" s="14">
        <f t="shared" si="67"/>
        <v>119.44784490644714</v>
      </c>
      <c r="EI9" s="11">
        <v>127139</v>
      </c>
      <c r="EJ9" s="12">
        <v>6918704</v>
      </c>
      <c r="EK9" s="13">
        <f t="shared" si="68"/>
        <v>54.41842392971472</v>
      </c>
      <c r="EL9" s="14">
        <f t="shared" si="69"/>
        <v>179.89561608070284</v>
      </c>
      <c r="EM9" s="11">
        <v>64270</v>
      </c>
      <c r="EN9" s="12">
        <v>1724033</v>
      </c>
      <c r="EO9" s="13">
        <f t="shared" si="70"/>
        <v>26.824848296250195</v>
      </c>
      <c r="EP9" s="14">
        <f t="shared" si="71"/>
        <v>88.677184344001247</v>
      </c>
      <c r="EQ9" s="11">
        <v>97785</v>
      </c>
      <c r="ER9" s="12">
        <v>2305605</v>
      </c>
      <c r="ES9" s="13">
        <f t="shared" si="72"/>
        <v>23.578309556680473</v>
      </c>
      <c r="ET9" s="14">
        <f t="shared" si="73"/>
        <v>77.944824887228108</v>
      </c>
      <c r="EU9" s="11">
        <v>54215</v>
      </c>
      <c r="EV9" s="12">
        <v>2414176.8168199998</v>
      </c>
      <c r="EW9" s="13">
        <f t="shared" si="74"/>
        <v>44.529683977128101</v>
      </c>
      <c r="EX9" s="14">
        <f t="shared" si="75"/>
        <v>147.20556668989249</v>
      </c>
      <c r="EY9" s="11">
        <v>59521</v>
      </c>
      <c r="EZ9" s="12">
        <v>2046943.4155300001</v>
      </c>
      <c r="FA9" s="13">
        <f t="shared" si="76"/>
        <v>34.390272601770803</v>
      </c>
      <c r="FB9" s="14">
        <f t="shared" si="77"/>
        <v>113.68685143967761</v>
      </c>
      <c r="FC9" s="11">
        <v>90752</v>
      </c>
      <c r="FD9" s="12">
        <v>3601431.7876599999</v>
      </c>
      <c r="FE9" s="13">
        <f t="shared" si="78"/>
        <v>39.684324176436881</v>
      </c>
      <c r="FF9" s="14">
        <f t="shared" si="79"/>
        <v>131.1878483597213</v>
      </c>
      <c r="FG9" s="11">
        <v>85456</v>
      </c>
      <c r="FH9" s="12">
        <v>2622310.2836699998</v>
      </c>
      <c r="FI9" s="13">
        <f t="shared" si="80"/>
        <v>30.686087386140233</v>
      </c>
      <c r="FJ9" s="14">
        <f t="shared" si="81"/>
        <v>101.44161107212207</v>
      </c>
      <c r="FK9" s="11">
        <v>58555</v>
      </c>
      <c r="FL9" s="12">
        <v>1998331.4924000001</v>
      </c>
      <c r="FM9" s="13">
        <f t="shared" si="82"/>
        <v>34.127427075399197</v>
      </c>
      <c r="FN9" s="14">
        <f t="shared" si="83"/>
        <v>112.81794060973978</v>
      </c>
      <c r="FO9" s="11"/>
      <c r="FP9" s="12"/>
      <c r="FQ9" s="13" t="e">
        <f t="shared" si="84"/>
        <v>#DIV/0!</v>
      </c>
      <c r="FR9" s="14" t="e">
        <f t="shared" si="85"/>
        <v>#DIV/0!</v>
      </c>
      <c r="FS9" s="11"/>
      <c r="FT9" s="12"/>
      <c r="FU9" s="13" t="e">
        <f t="shared" si="86"/>
        <v>#DIV/0!</v>
      </c>
      <c r="FV9" s="14" t="e">
        <f t="shared" si="87"/>
        <v>#DIV/0!</v>
      </c>
      <c r="FW9" s="11"/>
      <c r="FX9" s="12"/>
      <c r="FY9" s="13" t="e">
        <f t="shared" si="88"/>
        <v>#DIV/0!</v>
      </c>
      <c r="FZ9" s="14" t="e">
        <f t="shared" si="89"/>
        <v>#DIV/0!</v>
      </c>
    </row>
    <row r="10" spans="1:194">
      <c r="B10" s="2" t="s">
        <v>5</v>
      </c>
      <c r="C10" s="11">
        <v>1106860</v>
      </c>
      <c r="D10" s="12">
        <v>32198273</v>
      </c>
      <c r="E10" s="13">
        <f t="shared" si="0"/>
        <v>29.089743056935838</v>
      </c>
      <c r="F10" s="14">
        <f t="shared" si="1"/>
        <v>96.164439742241797</v>
      </c>
      <c r="G10" s="11">
        <v>57385</v>
      </c>
      <c r="H10" s="12">
        <v>1755028</v>
      </c>
      <c r="I10" s="13">
        <f t="shared" si="2"/>
        <v>30.583392872701925</v>
      </c>
      <c r="J10" s="14">
        <f t="shared" si="3"/>
        <v>101.10212507769208</v>
      </c>
      <c r="K10" s="11">
        <v>43562</v>
      </c>
      <c r="L10" s="12">
        <v>1402723</v>
      </c>
      <c r="M10" s="13">
        <f t="shared" si="4"/>
        <v>32.200610623938296</v>
      </c>
      <c r="N10" s="14">
        <f t="shared" si="5"/>
        <v>106.44829945552914</v>
      </c>
      <c r="O10" s="11">
        <v>82304</v>
      </c>
      <c r="P10" s="12">
        <v>2924934</v>
      </c>
      <c r="Q10" s="13">
        <f t="shared" si="6"/>
        <v>35.538175544323487</v>
      </c>
      <c r="R10" s="14">
        <f t="shared" si="7"/>
        <v>117.48157190637248</v>
      </c>
      <c r="S10" s="11">
        <v>96019</v>
      </c>
      <c r="T10" s="12">
        <v>3707881</v>
      </c>
      <c r="U10" s="13">
        <f t="shared" si="8"/>
        <v>38.616117643383078</v>
      </c>
      <c r="V10" s="14">
        <f t="shared" si="9"/>
        <v>127.65658709766524</v>
      </c>
      <c r="W10" s="11">
        <v>43189</v>
      </c>
      <c r="X10" s="12">
        <v>1435762</v>
      </c>
      <c r="Y10" s="13">
        <f t="shared" si="10"/>
        <v>33.243696311560811</v>
      </c>
      <c r="Z10" s="14">
        <f t="shared" si="11"/>
        <v>109.89651660055661</v>
      </c>
      <c r="AA10" s="11">
        <v>28557</v>
      </c>
      <c r="AB10" s="12">
        <v>1059931</v>
      </c>
      <c r="AC10" s="13">
        <f t="shared" si="12"/>
        <v>37.116328746016741</v>
      </c>
      <c r="AD10" s="14">
        <f t="shared" si="13"/>
        <v>122.69860727761039</v>
      </c>
      <c r="AE10" s="11">
        <v>56783</v>
      </c>
      <c r="AF10" s="12">
        <v>2046138</v>
      </c>
      <c r="AG10" s="13">
        <f t="shared" si="14"/>
        <v>36.034341264110736</v>
      </c>
      <c r="AH10" s="14">
        <f t="shared" si="15"/>
        <v>119.12178915989927</v>
      </c>
      <c r="AI10" s="11">
        <v>72247</v>
      </c>
      <c r="AJ10" s="12">
        <v>3036285</v>
      </c>
      <c r="AK10" s="13">
        <f t="shared" si="16"/>
        <v>42.026450925297937</v>
      </c>
      <c r="AL10" s="14">
        <f t="shared" si="17"/>
        <v>138.93041611526016</v>
      </c>
      <c r="AM10" s="11">
        <v>50968</v>
      </c>
      <c r="AN10" s="12">
        <v>1703512</v>
      </c>
      <c r="AO10" s="13">
        <f t="shared" si="18"/>
        <v>33.423167477633022</v>
      </c>
      <c r="AP10" s="14">
        <f t="shared" si="19"/>
        <v>110.48980971082717</v>
      </c>
      <c r="AQ10" s="11">
        <v>132415</v>
      </c>
      <c r="AR10" s="12">
        <v>4726199</v>
      </c>
      <c r="AS10" s="13">
        <f t="shared" si="20"/>
        <v>35.692323377260884</v>
      </c>
      <c r="AT10" s="14">
        <f t="shared" si="21"/>
        <v>117.99115151877717</v>
      </c>
      <c r="AU10" s="11">
        <v>58545</v>
      </c>
      <c r="AV10" s="12">
        <v>2537034</v>
      </c>
      <c r="AW10" s="13">
        <f t="shared" si="22"/>
        <v>43.33476812708173</v>
      </c>
      <c r="AX10" s="14">
        <f t="shared" si="23"/>
        <v>143.25543165315705</v>
      </c>
      <c r="AY10" s="11">
        <v>58359</v>
      </c>
      <c r="AZ10" s="12">
        <v>1995069</v>
      </c>
      <c r="BA10" s="13">
        <f t="shared" si="24"/>
        <v>34.186140955122603</v>
      </c>
      <c r="BB10" s="14">
        <f t="shared" si="25"/>
        <v>113.01203607966688</v>
      </c>
      <c r="BC10" s="11">
        <v>72190</v>
      </c>
      <c r="BD10" s="12">
        <v>2761493</v>
      </c>
      <c r="BE10" s="13">
        <f t="shared" si="26"/>
        <v>38.253123701343675</v>
      </c>
      <c r="BF10" s="14">
        <f t="shared" si="27"/>
        <v>126.45660712542124</v>
      </c>
      <c r="BG10" s="11">
        <v>163710</v>
      </c>
      <c r="BH10" s="12">
        <v>7492181</v>
      </c>
      <c r="BI10" s="13">
        <f t="shared" si="28"/>
        <v>45.764956325209212</v>
      </c>
      <c r="BJ10" s="14">
        <f t="shared" si="29"/>
        <v>151.2891116373265</v>
      </c>
      <c r="BK10" s="11">
        <v>29840</v>
      </c>
      <c r="BL10" s="12">
        <v>1086113</v>
      </c>
      <c r="BM10" s="13">
        <f t="shared" si="30"/>
        <v>36.397888739946382</v>
      </c>
      <c r="BN10" s="14">
        <f t="shared" si="31"/>
        <v>120.3235989959303</v>
      </c>
      <c r="BO10" s="11">
        <v>35438</v>
      </c>
      <c r="BP10" s="12">
        <v>1486760</v>
      </c>
      <c r="BQ10" s="13">
        <f t="shared" si="32"/>
        <v>41.953834866527458</v>
      </c>
      <c r="BR10" s="14">
        <f t="shared" si="33"/>
        <v>138.69036302870364</v>
      </c>
      <c r="BS10" s="11">
        <v>77116</v>
      </c>
      <c r="BT10" s="12">
        <v>3958952</v>
      </c>
      <c r="BU10" s="13">
        <f t="shared" si="34"/>
        <v>51.337621245915244</v>
      </c>
      <c r="BV10" s="14">
        <f t="shared" si="35"/>
        <v>169.71114441094247</v>
      </c>
      <c r="BW10" s="11">
        <v>46232</v>
      </c>
      <c r="BX10" s="12">
        <v>1816366</v>
      </c>
      <c r="BY10" s="13">
        <f t="shared" si="36"/>
        <v>39.288068870046722</v>
      </c>
      <c r="BZ10" s="14">
        <f t="shared" si="37"/>
        <v>129.87791346413567</v>
      </c>
      <c r="CA10" s="11">
        <v>28963</v>
      </c>
      <c r="CB10" s="12">
        <v>1084974</v>
      </c>
      <c r="CC10" s="13">
        <f t="shared" si="38"/>
        <v>37.460691226737559</v>
      </c>
      <c r="CD10" s="14">
        <f t="shared" si="39"/>
        <v>123.83699564226356</v>
      </c>
      <c r="CE10" s="11">
        <v>60497</v>
      </c>
      <c r="CF10" s="12">
        <v>3091654</v>
      </c>
      <c r="CG10" s="13">
        <f t="shared" si="40"/>
        <v>51.104253103459676</v>
      </c>
      <c r="CH10" s="14">
        <f t="shared" si="41"/>
        <v>168.93967947813081</v>
      </c>
      <c r="CI10" s="11">
        <v>26281</v>
      </c>
      <c r="CJ10" s="12">
        <v>1308569</v>
      </c>
      <c r="CK10" s="13">
        <f t="shared" si="42"/>
        <v>49.791446291998021</v>
      </c>
      <c r="CL10" s="14">
        <f t="shared" si="43"/>
        <v>164.59982225536623</v>
      </c>
      <c r="CM10" s="11">
        <v>45229</v>
      </c>
      <c r="CN10" s="12">
        <v>2018809</v>
      </c>
      <c r="CO10" s="13">
        <f t="shared" si="44"/>
        <v>44.635278250679875</v>
      </c>
      <c r="CP10" s="14">
        <f t="shared" si="45"/>
        <v>147.55463866815717</v>
      </c>
      <c r="CQ10" s="11">
        <v>31937</v>
      </c>
      <c r="CR10" s="12">
        <v>1354894</v>
      </c>
      <c r="CS10" s="13">
        <f t="shared" si="46"/>
        <v>42.423959670601498</v>
      </c>
      <c r="CT10" s="14">
        <f t="shared" si="47"/>
        <v>140.24449461055454</v>
      </c>
      <c r="CU10" s="11">
        <v>21575</v>
      </c>
      <c r="CV10" s="12">
        <v>771966</v>
      </c>
      <c r="CW10" s="13">
        <f t="shared" si="48"/>
        <v>35.780579374275781</v>
      </c>
      <c r="CX10" s="14">
        <f t="shared" si="49"/>
        <v>118.28290688045979</v>
      </c>
      <c r="CY10" s="11">
        <v>18213</v>
      </c>
      <c r="CZ10" s="12">
        <v>718820</v>
      </c>
      <c r="DA10" s="13">
        <f t="shared" si="50"/>
        <v>39.467413386042935</v>
      </c>
      <c r="DB10" s="14">
        <f t="shared" si="51"/>
        <v>130.47078789646955</v>
      </c>
      <c r="DC10" s="11">
        <v>61783</v>
      </c>
      <c r="DD10" s="12">
        <v>2591161</v>
      </c>
      <c r="DE10" s="13">
        <f t="shared" si="52"/>
        <v>41.93970833400774</v>
      </c>
      <c r="DF10" s="14">
        <f t="shared" si="53"/>
        <v>138.64366374770276</v>
      </c>
      <c r="DG10" s="11">
        <v>75208</v>
      </c>
      <c r="DH10" s="12">
        <v>3674094</v>
      </c>
      <c r="DI10" s="13">
        <f t="shared" si="54"/>
        <v>48.852435911073293</v>
      </c>
      <c r="DJ10" s="14">
        <f t="shared" si="55"/>
        <v>161.49565571057974</v>
      </c>
      <c r="DK10" s="11">
        <v>39809</v>
      </c>
      <c r="DL10" s="12">
        <v>1533622</v>
      </c>
      <c r="DM10" s="13">
        <f t="shared" si="56"/>
        <v>38.524504509030621</v>
      </c>
      <c r="DN10" s="14">
        <f t="shared" si="57"/>
        <v>127.35373376132632</v>
      </c>
      <c r="DO10" s="11">
        <v>56450</v>
      </c>
      <c r="DP10" s="12">
        <v>3493040</v>
      </c>
      <c r="DQ10" s="13">
        <f t="shared" si="58"/>
        <v>61.878476527900794</v>
      </c>
      <c r="DR10" s="14">
        <f t="shared" si="59"/>
        <v>204.55694695420371</v>
      </c>
      <c r="DS10" s="11">
        <v>30018</v>
      </c>
      <c r="DT10" s="12">
        <v>1239589</v>
      </c>
      <c r="DU10" s="13">
        <f t="shared" si="60"/>
        <v>41.294856419481647</v>
      </c>
      <c r="DV10" s="14">
        <f t="shared" si="61"/>
        <v>136.51192188405889</v>
      </c>
      <c r="DW10" s="11">
        <v>21802</v>
      </c>
      <c r="DX10" s="12">
        <v>739533</v>
      </c>
      <c r="DY10" s="13">
        <f t="shared" si="62"/>
        <v>33.920420144940834</v>
      </c>
      <c r="DZ10" s="14">
        <f t="shared" si="63"/>
        <v>112.13362017929366</v>
      </c>
      <c r="EA10" s="11">
        <v>17463</v>
      </c>
      <c r="EB10" s="12">
        <v>662700</v>
      </c>
      <c r="EC10" s="13">
        <f t="shared" si="64"/>
        <v>37.948806047070953</v>
      </c>
      <c r="ED10" s="14">
        <f t="shared" si="65"/>
        <v>125.45059835217317</v>
      </c>
      <c r="EE10" s="11">
        <v>50757</v>
      </c>
      <c r="EF10" s="12">
        <v>2939783</v>
      </c>
      <c r="EG10" s="13">
        <f t="shared" si="66"/>
        <v>57.918769824851744</v>
      </c>
      <c r="EH10" s="14">
        <f t="shared" si="67"/>
        <v>191.4670074556999</v>
      </c>
      <c r="EI10" s="11">
        <v>15878</v>
      </c>
      <c r="EJ10" s="12">
        <v>569335</v>
      </c>
      <c r="EK10" s="13">
        <f t="shared" si="68"/>
        <v>35.856845950371586</v>
      </c>
      <c r="EL10" s="14">
        <f t="shared" si="69"/>
        <v>118.53502779287065</v>
      </c>
      <c r="EM10" s="11">
        <v>85131</v>
      </c>
      <c r="EN10" s="12">
        <v>5736312</v>
      </c>
      <c r="EO10" s="13">
        <f t="shared" si="70"/>
        <v>67.382175705677128</v>
      </c>
      <c r="EP10" s="14">
        <f t="shared" si="71"/>
        <v>222.75099380105294</v>
      </c>
      <c r="EQ10" s="11">
        <v>18176</v>
      </c>
      <c r="ER10" s="12">
        <v>663243</v>
      </c>
      <c r="ES10" s="13">
        <f t="shared" si="72"/>
        <v>36.49004181338028</v>
      </c>
      <c r="ET10" s="14">
        <f t="shared" si="73"/>
        <v>120.62823725485035</v>
      </c>
      <c r="EU10" s="11">
        <v>17345</v>
      </c>
      <c r="EV10" s="12">
        <v>624753.37736000004</v>
      </c>
      <c r="EW10" s="13">
        <f t="shared" si="74"/>
        <v>36.01922037244163</v>
      </c>
      <c r="EX10" s="14">
        <f t="shared" si="75"/>
        <v>119.07180274121839</v>
      </c>
      <c r="EY10" s="11">
        <v>59787</v>
      </c>
      <c r="EZ10" s="12">
        <v>3657944.0484699998</v>
      </c>
      <c r="FA10" s="13">
        <f t="shared" si="76"/>
        <v>61.182933555287939</v>
      </c>
      <c r="FB10" s="14">
        <f t="shared" si="77"/>
        <v>202.25763134501955</v>
      </c>
      <c r="FC10" s="11">
        <v>81632</v>
      </c>
      <c r="FD10" s="12">
        <v>5121355.7017299999</v>
      </c>
      <c r="FE10" s="13">
        <f t="shared" si="78"/>
        <v>62.737109243066442</v>
      </c>
      <c r="FF10" s="14">
        <f t="shared" si="79"/>
        <v>207.3954022075435</v>
      </c>
      <c r="FG10" s="11">
        <v>89374</v>
      </c>
      <c r="FH10" s="12">
        <v>4527145.6320500001</v>
      </c>
      <c r="FI10" s="13">
        <f t="shared" si="80"/>
        <v>50.653944458679263</v>
      </c>
      <c r="FJ10" s="14">
        <f t="shared" si="81"/>
        <v>167.45105586080837</v>
      </c>
      <c r="FK10" s="11">
        <v>39756</v>
      </c>
      <c r="FL10" s="12">
        <v>2022945.2312100001</v>
      </c>
      <c r="FM10" s="13">
        <f t="shared" si="82"/>
        <v>50.884023322517358</v>
      </c>
      <c r="FN10" s="14">
        <f t="shared" si="83"/>
        <v>168.21164714531085</v>
      </c>
      <c r="FO10" s="11"/>
      <c r="FP10" s="12"/>
      <c r="FQ10" s="13" t="e">
        <f t="shared" si="84"/>
        <v>#DIV/0!</v>
      </c>
      <c r="FR10" s="14" t="e">
        <f t="shared" si="85"/>
        <v>#DIV/0!</v>
      </c>
      <c r="FS10" s="11"/>
      <c r="FT10" s="12"/>
      <c r="FU10" s="13" t="e">
        <f t="shared" si="86"/>
        <v>#DIV/0!</v>
      </c>
      <c r="FV10" s="14" t="e">
        <f t="shared" si="87"/>
        <v>#DIV/0!</v>
      </c>
      <c r="FW10" s="11"/>
      <c r="FX10" s="12"/>
      <c r="FY10" s="13" t="e">
        <f t="shared" si="88"/>
        <v>#DIV/0!</v>
      </c>
      <c r="FZ10" s="14" t="e">
        <f t="shared" si="89"/>
        <v>#DIV/0!</v>
      </c>
    </row>
    <row r="11" spans="1:194" ht="18.600000000000001" thickBot="1">
      <c r="B11" s="2" t="s">
        <v>6</v>
      </c>
      <c r="C11" s="15">
        <v>8608567</v>
      </c>
      <c r="D11" s="16">
        <v>167466039</v>
      </c>
      <c r="E11" s="17">
        <f t="shared" si="0"/>
        <v>19.453416462925826</v>
      </c>
      <c r="F11" s="18">
        <f t="shared" si="1"/>
        <v>64.308814676303228</v>
      </c>
      <c r="G11" s="15">
        <v>468787</v>
      </c>
      <c r="H11" s="16">
        <v>11628801</v>
      </c>
      <c r="I11" s="17">
        <f t="shared" si="2"/>
        <v>24.806150767832726</v>
      </c>
      <c r="J11" s="18">
        <f t="shared" si="3"/>
        <v>82.003804092777997</v>
      </c>
      <c r="K11" s="15">
        <v>554269</v>
      </c>
      <c r="L11" s="16">
        <v>13303890</v>
      </c>
      <c r="M11" s="17">
        <f t="shared" si="4"/>
        <v>24.002587191417884</v>
      </c>
      <c r="N11" s="18">
        <f t="shared" si="5"/>
        <v>79.347395578891835</v>
      </c>
      <c r="O11" s="15">
        <v>475415</v>
      </c>
      <c r="P11" s="16">
        <v>11484248</v>
      </c>
      <c r="Q11" s="17">
        <f t="shared" si="6"/>
        <v>24.156259268218292</v>
      </c>
      <c r="R11" s="18">
        <f t="shared" si="7"/>
        <v>79.855402443738114</v>
      </c>
      <c r="S11" s="15">
        <v>543839</v>
      </c>
      <c r="T11" s="16">
        <v>13801597</v>
      </c>
      <c r="U11" s="17">
        <f t="shared" si="8"/>
        <v>25.37809351664739</v>
      </c>
      <c r="V11" s="18">
        <f t="shared" si="9"/>
        <v>83.894523921301413</v>
      </c>
      <c r="W11" s="15">
        <v>444209</v>
      </c>
      <c r="X11" s="16">
        <v>14214159</v>
      </c>
      <c r="Y11" s="17">
        <f t="shared" si="10"/>
        <v>31.998809119130861</v>
      </c>
      <c r="Z11" s="18">
        <f t="shared" si="11"/>
        <v>105.7811870437431</v>
      </c>
      <c r="AA11" s="15">
        <v>525185</v>
      </c>
      <c r="AB11" s="16">
        <v>12856987</v>
      </c>
      <c r="AC11" s="17">
        <f t="shared" si="12"/>
        <v>24.480872454468425</v>
      </c>
      <c r="AD11" s="18">
        <f t="shared" si="13"/>
        <v>80.928503884599593</v>
      </c>
      <c r="AE11" s="15">
        <v>784656</v>
      </c>
      <c r="AF11" s="16">
        <v>23232064</v>
      </c>
      <c r="AG11" s="17">
        <f t="shared" si="14"/>
        <v>29.607960685956648</v>
      </c>
      <c r="AH11" s="18">
        <f t="shared" si="15"/>
        <v>97.877555869180483</v>
      </c>
      <c r="AI11" s="15">
        <v>516754</v>
      </c>
      <c r="AJ11" s="16">
        <v>14356047</v>
      </c>
      <c r="AK11" s="17">
        <f t="shared" si="16"/>
        <v>27.781201500133527</v>
      </c>
      <c r="AL11" s="18">
        <f t="shared" si="17"/>
        <v>91.838682534863082</v>
      </c>
      <c r="AM11" s="15">
        <v>483962</v>
      </c>
      <c r="AN11" s="16">
        <v>13861034</v>
      </c>
      <c r="AO11" s="17">
        <f t="shared" si="18"/>
        <v>28.640748653819927</v>
      </c>
      <c r="AP11" s="18">
        <f t="shared" si="19"/>
        <v>94.680160725457938</v>
      </c>
      <c r="AQ11" s="15">
        <v>517179</v>
      </c>
      <c r="AR11" s="16">
        <v>13067907</v>
      </c>
      <c r="AS11" s="17">
        <f t="shared" si="20"/>
        <v>25.267667480698172</v>
      </c>
      <c r="AT11" s="18">
        <f t="shared" si="21"/>
        <v>83.529479174799903</v>
      </c>
      <c r="AU11" s="15">
        <v>493168</v>
      </c>
      <c r="AV11" s="16">
        <v>12400631</v>
      </c>
      <c r="AW11" s="17">
        <f t="shared" si="22"/>
        <v>25.144841108912175</v>
      </c>
      <c r="AX11" s="18">
        <f t="shared" si="23"/>
        <v>83.123441582606162</v>
      </c>
      <c r="AY11" s="15">
        <v>452254</v>
      </c>
      <c r="AZ11" s="16">
        <v>10896023</v>
      </c>
      <c r="BA11" s="17">
        <f t="shared" si="24"/>
        <v>24.092706753284659</v>
      </c>
      <c r="BB11" s="18">
        <f t="shared" si="25"/>
        <v>79.645311485531934</v>
      </c>
      <c r="BC11" s="15">
        <v>426713</v>
      </c>
      <c r="BD11" s="16">
        <v>12037838</v>
      </c>
      <c r="BE11" s="17">
        <f t="shared" si="26"/>
        <v>28.210619315558702</v>
      </c>
      <c r="BF11" s="18">
        <f t="shared" si="27"/>
        <v>93.258245559358542</v>
      </c>
      <c r="BG11" s="15">
        <v>426628</v>
      </c>
      <c r="BH11" s="16">
        <v>10028344</v>
      </c>
      <c r="BI11" s="17">
        <f t="shared" si="28"/>
        <v>23.506061486822244</v>
      </c>
      <c r="BJ11" s="18">
        <f t="shared" si="29"/>
        <v>77.705988292942052</v>
      </c>
      <c r="BK11" s="15">
        <v>429740</v>
      </c>
      <c r="BL11" s="16">
        <v>10476952</v>
      </c>
      <c r="BM11" s="17">
        <f t="shared" si="30"/>
        <v>24.379745892865454</v>
      </c>
      <c r="BN11" s="18">
        <f t="shared" si="31"/>
        <v>80.594201202015725</v>
      </c>
      <c r="BO11" s="15">
        <v>477653</v>
      </c>
      <c r="BP11" s="16">
        <v>14518674</v>
      </c>
      <c r="BQ11" s="17">
        <f t="shared" si="32"/>
        <v>30.395860593359615</v>
      </c>
      <c r="BR11" s="18">
        <f t="shared" si="33"/>
        <v>100.48218365912258</v>
      </c>
      <c r="BS11" s="15">
        <v>436991</v>
      </c>
      <c r="BT11" s="16">
        <v>13656448</v>
      </c>
      <c r="BU11" s="17">
        <f t="shared" si="34"/>
        <v>31.25109670450879</v>
      </c>
      <c r="BV11" s="18">
        <f t="shared" si="35"/>
        <v>103.30941046944619</v>
      </c>
      <c r="BW11" s="15">
        <v>441980</v>
      </c>
      <c r="BX11" s="16">
        <v>13211462</v>
      </c>
      <c r="BY11" s="17">
        <f t="shared" si="36"/>
        <v>29.891538078646093</v>
      </c>
      <c r="BZ11" s="18">
        <f t="shared" si="37"/>
        <v>98.815001794301637</v>
      </c>
      <c r="CA11" s="15">
        <v>587762</v>
      </c>
      <c r="CB11" s="16">
        <v>18266439</v>
      </c>
      <c r="CC11" s="17">
        <f t="shared" si="38"/>
        <v>31.07795161987335</v>
      </c>
      <c r="CD11" s="18">
        <f t="shared" si="39"/>
        <v>102.73703002505721</v>
      </c>
      <c r="CE11" s="15">
        <v>507410</v>
      </c>
      <c r="CF11" s="16">
        <v>15077442</v>
      </c>
      <c r="CG11" s="17">
        <f t="shared" si="40"/>
        <v>29.714514889339981</v>
      </c>
      <c r="CH11" s="18">
        <f t="shared" si="41"/>
        <v>98.229801169198552</v>
      </c>
      <c r="CI11" s="15">
        <v>431504</v>
      </c>
      <c r="CJ11" s="16">
        <v>13681572</v>
      </c>
      <c r="CK11" s="17">
        <f t="shared" si="42"/>
        <v>31.706709555415475</v>
      </c>
      <c r="CL11" s="18">
        <f t="shared" si="43"/>
        <v>104.81556865245429</v>
      </c>
      <c r="CM11" s="15">
        <v>569025</v>
      </c>
      <c r="CN11" s="16">
        <v>16385060</v>
      </c>
      <c r="CO11" s="17">
        <f t="shared" si="44"/>
        <v>28.794973858793551</v>
      </c>
      <c r="CP11" s="18">
        <f t="shared" si="45"/>
        <v>95.189996113188698</v>
      </c>
      <c r="CQ11" s="15">
        <v>384777</v>
      </c>
      <c r="CR11" s="16">
        <v>12314279</v>
      </c>
      <c r="CS11" s="17">
        <f t="shared" si="46"/>
        <v>32.00367745473352</v>
      </c>
      <c r="CT11" s="18">
        <f t="shared" si="47"/>
        <v>105.79728071513755</v>
      </c>
      <c r="CU11" s="15">
        <v>396343</v>
      </c>
      <c r="CV11" s="16">
        <v>13183424</v>
      </c>
      <c r="CW11" s="17">
        <f t="shared" si="48"/>
        <v>33.262663904749168</v>
      </c>
      <c r="CX11" s="18">
        <f t="shared" si="49"/>
        <v>109.95921938788089</v>
      </c>
      <c r="CY11" s="15">
        <v>382059</v>
      </c>
      <c r="CZ11" s="16">
        <v>13252033</v>
      </c>
      <c r="DA11" s="17">
        <f t="shared" si="50"/>
        <v>34.685828628562604</v>
      </c>
      <c r="DB11" s="18">
        <f t="shared" si="51"/>
        <v>114.66389615517225</v>
      </c>
      <c r="DC11" s="15">
        <v>423007</v>
      </c>
      <c r="DD11" s="16">
        <v>22456401</v>
      </c>
      <c r="DE11" s="17">
        <f t="shared" si="52"/>
        <v>53.08753992250719</v>
      </c>
      <c r="DF11" s="18">
        <f t="shared" si="53"/>
        <v>175.49599953323022</v>
      </c>
      <c r="DG11" s="15">
        <v>467942</v>
      </c>
      <c r="DH11" s="16">
        <v>19166153</v>
      </c>
      <c r="DI11" s="17">
        <f t="shared" si="54"/>
        <v>40.958394416402029</v>
      </c>
      <c r="DJ11" s="18">
        <f t="shared" si="55"/>
        <v>135.39965080083292</v>
      </c>
      <c r="DK11" s="15">
        <v>690848</v>
      </c>
      <c r="DL11" s="16">
        <v>28299445</v>
      </c>
      <c r="DM11" s="17">
        <f t="shared" si="56"/>
        <v>40.963345048404278</v>
      </c>
      <c r="DN11" s="18">
        <f t="shared" si="57"/>
        <v>135.41601652644053</v>
      </c>
      <c r="DO11" s="15">
        <v>369532</v>
      </c>
      <c r="DP11" s="16">
        <v>12152064</v>
      </c>
      <c r="DQ11" s="17">
        <f t="shared" si="58"/>
        <v>32.885011311604949</v>
      </c>
      <c r="DR11" s="18">
        <f t="shared" si="59"/>
        <v>108.71078106493532</v>
      </c>
      <c r="DS11" s="15">
        <v>413077</v>
      </c>
      <c r="DT11" s="16">
        <v>14026501</v>
      </c>
      <c r="DU11" s="17">
        <f t="shared" si="60"/>
        <v>33.956141348949473</v>
      </c>
      <c r="DV11" s="18">
        <f t="shared" si="61"/>
        <v>112.25170680397389</v>
      </c>
      <c r="DW11" s="15">
        <v>369620</v>
      </c>
      <c r="DX11" s="16">
        <v>11544272</v>
      </c>
      <c r="DY11" s="17">
        <f t="shared" si="62"/>
        <v>31.232812077268544</v>
      </c>
      <c r="DZ11" s="18">
        <f t="shared" si="63"/>
        <v>103.24896542079064</v>
      </c>
      <c r="EA11" s="15">
        <v>427197</v>
      </c>
      <c r="EB11" s="16">
        <v>21559705</v>
      </c>
      <c r="EC11" s="17">
        <f t="shared" si="64"/>
        <v>50.467828659845459</v>
      </c>
      <c r="ED11" s="18">
        <f t="shared" si="65"/>
        <v>166.83579702242665</v>
      </c>
      <c r="EE11" s="15">
        <v>473210</v>
      </c>
      <c r="EF11" s="16">
        <v>17192389</v>
      </c>
      <c r="EG11" s="17">
        <f t="shared" si="66"/>
        <v>36.331415227911499</v>
      </c>
      <c r="EH11" s="18">
        <f t="shared" si="67"/>
        <v>120.10385184897125</v>
      </c>
      <c r="EI11" s="15">
        <v>432596</v>
      </c>
      <c r="EJ11" s="16">
        <v>15735547</v>
      </c>
      <c r="EK11" s="17">
        <f t="shared" si="68"/>
        <v>36.374693709604344</v>
      </c>
      <c r="EL11" s="18">
        <f t="shared" si="69"/>
        <v>120.24692120976763</v>
      </c>
      <c r="EM11" s="15">
        <v>344658</v>
      </c>
      <c r="EN11" s="16">
        <v>10792773</v>
      </c>
      <c r="EO11" s="17">
        <f t="shared" si="70"/>
        <v>31.314442142645753</v>
      </c>
      <c r="EP11" s="18">
        <f t="shared" si="71"/>
        <v>103.51881687625924</v>
      </c>
      <c r="EQ11" s="15">
        <v>335412</v>
      </c>
      <c r="ER11" s="16">
        <v>12330928</v>
      </c>
      <c r="ES11" s="17">
        <f t="shared" si="72"/>
        <v>36.763526647824172</v>
      </c>
      <c r="ET11" s="18">
        <f t="shared" si="73"/>
        <v>121.53231935110063</v>
      </c>
      <c r="EU11" s="15">
        <v>353303</v>
      </c>
      <c r="EV11" s="16">
        <v>10780340.16078</v>
      </c>
      <c r="EW11" s="17">
        <f t="shared" si="74"/>
        <v>30.513016195107316</v>
      </c>
      <c r="EX11" s="18">
        <f t="shared" si="75"/>
        <v>100.86947490410478</v>
      </c>
      <c r="EY11" s="15">
        <v>270559</v>
      </c>
      <c r="EZ11" s="16">
        <v>12760862.002769999</v>
      </c>
      <c r="FA11" s="17">
        <f t="shared" si="76"/>
        <v>47.164803250936025</v>
      </c>
      <c r="FB11" s="18">
        <f t="shared" si="77"/>
        <v>155.91670477467193</v>
      </c>
      <c r="FC11" s="15">
        <v>469145</v>
      </c>
      <c r="FD11" s="16">
        <v>25382588.233320002</v>
      </c>
      <c r="FE11" s="17">
        <f t="shared" si="78"/>
        <v>54.103929986081063</v>
      </c>
      <c r="FF11" s="18">
        <f t="shared" si="79"/>
        <v>178.85596668150859</v>
      </c>
      <c r="FG11" s="15">
        <v>1234635</v>
      </c>
      <c r="FH11" s="16">
        <v>88701906.481260002</v>
      </c>
      <c r="FI11" s="17">
        <f t="shared" si="80"/>
        <v>71.844639493664118</v>
      </c>
      <c r="FJ11" s="18">
        <f t="shared" si="81"/>
        <v>237.50294018991917</v>
      </c>
      <c r="FK11" s="15">
        <v>358272</v>
      </c>
      <c r="FL11" s="16">
        <v>22722115.97924</v>
      </c>
      <c r="FM11" s="17">
        <f t="shared" si="82"/>
        <v>63.421411606935514</v>
      </c>
      <c r="FN11" s="18">
        <f t="shared" si="83"/>
        <v>209.65755877960271</v>
      </c>
      <c r="FO11" s="15"/>
      <c r="FP11" s="16"/>
      <c r="FQ11" s="17" t="e">
        <f t="shared" si="84"/>
        <v>#DIV/0!</v>
      </c>
      <c r="FR11" s="18" t="e">
        <f t="shared" si="85"/>
        <v>#DIV/0!</v>
      </c>
      <c r="FS11" s="15"/>
      <c r="FT11" s="16"/>
      <c r="FU11" s="17" t="e">
        <f t="shared" si="86"/>
        <v>#DIV/0!</v>
      </c>
      <c r="FV11" s="18" t="e">
        <f t="shared" si="87"/>
        <v>#DIV/0!</v>
      </c>
      <c r="FW11" s="15"/>
      <c r="FX11" s="16"/>
      <c r="FY11" s="17" t="e">
        <f t="shared" si="88"/>
        <v>#DIV/0!</v>
      </c>
      <c r="FZ11" s="18" t="e">
        <f t="shared" si="89"/>
        <v>#DIV/0!</v>
      </c>
    </row>
    <row r="12" spans="1:194">
      <c r="EU12" s="3"/>
      <c r="EV12" s="3"/>
      <c r="EY12" s="3"/>
      <c r="EZ12" s="3"/>
      <c r="FC12" s="3"/>
      <c r="FD12" s="3"/>
      <c r="FG12" s="3"/>
      <c r="FH12" s="3"/>
      <c r="FK12" s="3"/>
      <c r="FL12" s="3"/>
      <c r="FO12" s="3"/>
      <c r="FP12" s="3"/>
      <c r="FS12" s="3"/>
      <c r="FT12" s="3"/>
      <c r="FW12" s="3"/>
      <c r="FX12" s="3"/>
    </row>
    <row r="15" spans="1:194" ht="18.600000000000001" thickBot="1">
      <c r="B15" s="2" t="s">
        <v>115</v>
      </c>
    </row>
    <row r="16" spans="1:194">
      <c r="C16" s="4" t="s">
        <v>45</v>
      </c>
      <c r="D16" s="5"/>
      <c r="E16" s="5"/>
      <c r="F16" s="6"/>
      <c r="G16" s="4" t="s">
        <v>107</v>
      </c>
      <c r="H16" s="5"/>
      <c r="I16" s="5"/>
      <c r="J16" s="6"/>
      <c r="K16" s="4" t="s">
        <v>27</v>
      </c>
      <c r="M16" s="5"/>
      <c r="N16" s="6"/>
      <c r="O16" s="4" t="s">
        <v>113</v>
      </c>
      <c r="Q16" s="5"/>
      <c r="R16" s="6"/>
      <c r="S16" s="4" t="s">
        <v>114</v>
      </c>
      <c r="T16" s="5"/>
      <c r="U16" s="5"/>
      <c r="V16" s="6"/>
      <c r="W16" s="4" t="s">
        <v>26</v>
      </c>
      <c r="Y16" s="5"/>
      <c r="Z16" s="6"/>
      <c r="AA16" s="4" t="s">
        <v>111</v>
      </c>
      <c r="AC16" s="5"/>
      <c r="AD16" s="6"/>
      <c r="AE16" s="4" t="s">
        <v>112</v>
      </c>
      <c r="AF16" s="5"/>
      <c r="AG16" s="5"/>
      <c r="AH16" s="6"/>
      <c r="AI16" s="4" t="s">
        <v>25</v>
      </c>
      <c r="AK16" s="5"/>
      <c r="AL16" s="6"/>
      <c r="AM16" s="4" t="s">
        <v>109</v>
      </c>
      <c r="AO16" s="5"/>
      <c r="AP16" s="6"/>
      <c r="AQ16" s="4" t="s">
        <v>110</v>
      </c>
      <c r="AR16" s="5"/>
      <c r="AS16" s="5"/>
      <c r="AT16" s="6"/>
      <c r="AU16" s="4" t="s">
        <v>24</v>
      </c>
      <c r="AW16" s="5"/>
      <c r="AX16" s="6"/>
      <c r="AY16" s="4" t="s">
        <v>108</v>
      </c>
      <c r="AZ16" s="5"/>
      <c r="BA16" s="5"/>
      <c r="BB16" s="6"/>
      <c r="BC16" s="4" t="s">
        <v>75</v>
      </c>
      <c r="BD16" s="5"/>
      <c r="BE16" s="5"/>
      <c r="BF16" s="6"/>
      <c r="BG16" s="4" t="s">
        <v>23</v>
      </c>
      <c r="BI16" s="5"/>
      <c r="BJ16" s="6"/>
      <c r="BK16" s="4" t="s">
        <v>79</v>
      </c>
      <c r="BM16" s="5"/>
      <c r="BN16" s="6"/>
      <c r="BO16" s="4" t="s">
        <v>80</v>
      </c>
      <c r="BP16" s="5"/>
      <c r="BQ16" s="5"/>
      <c r="BR16" s="6"/>
      <c r="BS16" s="4" t="s">
        <v>22</v>
      </c>
      <c r="BU16" s="5"/>
      <c r="BV16" s="6"/>
      <c r="BW16" s="4" t="s">
        <v>81</v>
      </c>
      <c r="BY16" s="5"/>
      <c r="BZ16" s="6"/>
      <c r="CA16" s="4" t="s">
        <v>82</v>
      </c>
      <c r="CB16" s="5"/>
      <c r="CC16" s="5"/>
      <c r="CD16" s="6"/>
      <c r="CE16" s="4" t="s">
        <v>21</v>
      </c>
      <c r="CG16" s="5"/>
      <c r="CH16" s="6"/>
      <c r="CI16" s="4" t="s">
        <v>77</v>
      </c>
      <c r="CK16" s="5"/>
      <c r="CL16" s="6"/>
      <c r="CM16" s="4" t="s">
        <v>78</v>
      </c>
      <c r="CN16" s="5"/>
      <c r="CO16" s="5"/>
      <c r="CP16" s="6"/>
      <c r="CQ16" s="4" t="s">
        <v>20</v>
      </c>
      <c r="CS16" s="5"/>
      <c r="CT16" s="6"/>
      <c r="CU16" s="4" t="s">
        <v>76</v>
      </c>
      <c r="CV16" s="5"/>
      <c r="CW16" s="5"/>
      <c r="CX16" s="6"/>
      <c r="CY16" s="4" t="s">
        <v>59</v>
      </c>
      <c r="CZ16" s="5"/>
      <c r="DA16" s="5"/>
      <c r="DB16" s="6"/>
      <c r="DC16" s="4" t="s">
        <v>19</v>
      </c>
      <c r="DE16" s="5"/>
      <c r="DF16" s="6"/>
      <c r="DG16" s="4" t="s">
        <v>60</v>
      </c>
      <c r="DI16" s="5"/>
      <c r="DJ16" s="6"/>
      <c r="DK16" s="4" t="s">
        <v>61</v>
      </c>
      <c r="DL16" s="5"/>
      <c r="DM16" s="5"/>
      <c r="DN16" s="6"/>
      <c r="DO16" s="4" t="s">
        <v>18</v>
      </c>
      <c r="DQ16" s="5"/>
      <c r="DR16" s="6"/>
      <c r="DS16" s="4" t="s">
        <v>62</v>
      </c>
      <c r="DU16" s="5"/>
      <c r="DV16" s="6"/>
      <c r="DW16" s="4" t="s">
        <v>63</v>
      </c>
      <c r="DX16" s="5"/>
      <c r="DY16" s="5"/>
      <c r="DZ16" s="6"/>
      <c r="EA16" s="4" t="s">
        <v>17</v>
      </c>
      <c r="EC16" s="5"/>
      <c r="ED16" s="6"/>
      <c r="EE16" s="4" t="s">
        <v>57</v>
      </c>
      <c r="EG16" s="5"/>
      <c r="EH16" s="6"/>
      <c r="EI16" s="4" t="s">
        <v>58</v>
      </c>
      <c r="EJ16" s="5"/>
      <c r="EK16" s="5"/>
      <c r="EL16" s="6"/>
      <c r="EM16" s="4" t="s">
        <v>16</v>
      </c>
      <c r="EN16" s="5"/>
      <c r="EO16" s="5"/>
      <c r="EP16" s="6"/>
      <c r="EQ16" s="4" t="s">
        <v>56</v>
      </c>
      <c r="ER16" s="5"/>
      <c r="ES16" s="5"/>
      <c r="ET16" s="6"/>
      <c r="EU16" s="4" t="s">
        <v>52</v>
      </c>
      <c r="EV16" s="5"/>
      <c r="EW16" s="5"/>
      <c r="EX16" s="6"/>
      <c r="EY16" s="4" t="s">
        <v>15</v>
      </c>
      <c r="EZ16" s="5"/>
      <c r="FA16" s="5"/>
      <c r="FB16" s="6"/>
      <c r="FC16" s="4" t="s">
        <v>51</v>
      </c>
      <c r="FD16" s="5"/>
      <c r="FE16" s="5"/>
      <c r="FF16" s="6"/>
      <c r="FG16" s="4" t="s">
        <v>50</v>
      </c>
      <c r="FH16" s="5"/>
      <c r="FI16" s="5"/>
      <c r="FJ16" s="6"/>
      <c r="FK16" s="4" t="s">
        <v>12</v>
      </c>
      <c r="FL16" s="5"/>
      <c r="FM16" s="5"/>
      <c r="FN16" s="6"/>
      <c r="FO16" s="4" t="s">
        <v>119</v>
      </c>
      <c r="FP16" s="5"/>
      <c r="FQ16" s="5"/>
      <c r="FR16" s="6"/>
      <c r="FS16" s="4" t="s">
        <v>120</v>
      </c>
      <c r="FT16" s="5"/>
      <c r="FU16" s="5"/>
      <c r="FV16" s="6"/>
      <c r="FW16" s="4" t="s">
        <v>121</v>
      </c>
      <c r="FX16" s="5"/>
      <c r="FY16" s="5"/>
      <c r="FZ16" s="6"/>
      <c r="GA16" s="4" t="s">
        <v>126</v>
      </c>
      <c r="GB16" s="5"/>
      <c r="GC16" s="5"/>
      <c r="GD16" s="6"/>
      <c r="GE16" s="4" t="s">
        <v>127</v>
      </c>
      <c r="GF16" s="5"/>
      <c r="GG16" s="5"/>
      <c r="GH16" s="6"/>
      <c r="GI16" s="4" t="s">
        <v>128</v>
      </c>
      <c r="GJ16" s="5"/>
      <c r="GK16" s="5"/>
      <c r="GL16" s="6"/>
    </row>
    <row r="17" spans="2:194" ht="45" customHeight="1">
      <c r="C17" s="7" t="s">
        <v>7</v>
      </c>
      <c r="D17" s="8" t="s">
        <v>8</v>
      </c>
      <c r="E17" s="9" t="s">
        <v>10</v>
      </c>
      <c r="F17" s="10" t="s">
        <v>11</v>
      </c>
      <c r="G17" s="7" t="s">
        <v>7</v>
      </c>
      <c r="H17" s="8" t="s">
        <v>8</v>
      </c>
      <c r="I17" s="9" t="s">
        <v>10</v>
      </c>
      <c r="J17" s="10" t="s">
        <v>11</v>
      </c>
      <c r="K17" s="7" t="s">
        <v>7</v>
      </c>
      <c r="L17" s="8" t="s">
        <v>8</v>
      </c>
      <c r="M17" s="9" t="s">
        <v>10</v>
      </c>
      <c r="N17" s="10" t="s">
        <v>11</v>
      </c>
      <c r="O17" s="7" t="s">
        <v>7</v>
      </c>
      <c r="P17" s="8" t="s">
        <v>8</v>
      </c>
      <c r="Q17" s="9" t="s">
        <v>10</v>
      </c>
      <c r="R17" s="10" t="s">
        <v>11</v>
      </c>
      <c r="S17" s="7" t="s">
        <v>7</v>
      </c>
      <c r="T17" s="8" t="s">
        <v>8</v>
      </c>
      <c r="U17" s="9" t="s">
        <v>10</v>
      </c>
      <c r="V17" s="10" t="s">
        <v>11</v>
      </c>
      <c r="W17" s="7" t="s">
        <v>7</v>
      </c>
      <c r="X17" s="8" t="s">
        <v>8</v>
      </c>
      <c r="Y17" s="9" t="s">
        <v>10</v>
      </c>
      <c r="Z17" s="10" t="s">
        <v>11</v>
      </c>
      <c r="AA17" s="7" t="s">
        <v>7</v>
      </c>
      <c r="AB17" s="8" t="s">
        <v>8</v>
      </c>
      <c r="AC17" s="9" t="s">
        <v>10</v>
      </c>
      <c r="AD17" s="10" t="s">
        <v>11</v>
      </c>
      <c r="AE17" s="7" t="s">
        <v>7</v>
      </c>
      <c r="AF17" s="8" t="s">
        <v>8</v>
      </c>
      <c r="AG17" s="9" t="s">
        <v>10</v>
      </c>
      <c r="AH17" s="10" t="s">
        <v>11</v>
      </c>
      <c r="AI17" s="7" t="s">
        <v>7</v>
      </c>
      <c r="AJ17" s="8" t="s">
        <v>8</v>
      </c>
      <c r="AK17" s="9" t="s">
        <v>10</v>
      </c>
      <c r="AL17" s="10" t="s">
        <v>11</v>
      </c>
      <c r="AM17" s="7" t="s">
        <v>7</v>
      </c>
      <c r="AN17" s="8" t="s">
        <v>8</v>
      </c>
      <c r="AO17" s="9" t="s">
        <v>10</v>
      </c>
      <c r="AP17" s="10" t="s">
        <v>11</v>
      </c>
      <c r="AQ17" s="7" t="s">
        <v>7</v>
      </c>
      <c r="AR17" s="8" t="s">
        <v>8</v>
      </c>
      <c r="AS17" s="9" t="s">
        <v>10</v>
      </c>
      <c r="AT17" s="10" t="s">
        <v>11</v>
      </c>
      <c r="AU17" s="7" t="s">
        <v>7</v>
      </c>
      <c r="AV17" s="8" t="s">
        <v>8</v>
      </c>
      <c r="AW17" s="9" t="s">
        <v>10</v>
      </c>
      <c r="AX17" s="10" t="s">
        <v>11</v>
      </c>
      <c r="AY17" s="7" t="s">
        <v>7</v>
      </c>
      <c r="AZ17" s="8" t="s">
        <v>8</v>
      </c>
      <c r="BA17" s="9" t="s">
        <v>10</v>
      </c>
      <c r="BB17" s="10" t="s">
        <v>11</v>
      </c>
      <c r="BC17" s="7" t="s">
        <v>7</v>
      </c>
      <c r="BD17" s="8" t="s">
        <v>8</v>
      </c>
      <c r="BE17" s="9" t="s">
        <v>10</v>
      </c>
      <c r="BF17" s="10" t="s">
        <v>11</v>
      </c>
      <c r="BG17" s="7" t="s">
        <v>7</v>
      </c>
      <c r="BH17" s="8" t="s">
        <v>8</v>
      </c>
      <c r="BI17" s="9" t="s">
        <v>10</v>
      </c>
      <c r="BJ17" s="10" t="s">
        <v>11</v>
      </c>
      <c r="BK17" s="7" t="s">
        <v>7</v>
      </c>
      <c r="BL17" s="8" t="s">
        <v>8</v>
      </c>
      <c r="BM17" s="9" t="s">
        <v>10</v>
      </c>
      <c r="BN17" s="10" t="s">
        <v>11</v>
      </c>
      <c r="BO17" s="7" t="s">
        <v>7</v>
      </c>
      <c r="BP17" s="8" t="s">
        <v>8</v>
      </c>
      <c r="BQ17" s="9" t="s">
        <v>10</v>
      </c>
      <c r="BR17" s="10" t="s">
        <v>11</v>
      </c>
      <c r="BS17" s="7" t="s">
        <v>7</v>
      </c>
      <c r="BT17" s="8" t="s">
        <v>8</v>
      </c>
      <c r="BU17" s="9" t="s">
        <v>10</v>
      </c>
      <c r="BV17" s="10" t="s">
        <v>11</v>
      </c>
      <c r="BW17" s="7" t="s">
        <v>7</v>
      </c>
      <c r="BX17" s="8" t="s">
        <v>8</v>
      </c>
      <c r="BY17" s="9" t="s">
        <v>10</v>
      </c>
      <c r="BZ17" s="10" t="s">
        <v>11</v>
      </c>
      <c r="CA17" s="7" t="s">
        <v>7</v>
      </c>
      <c r="CB17" s="8" t="s">
        <v>8</v>
      </c>
      <c r="CC17" s="9" t="s">
        <v>10</v>
      </c>
      <c r="CD17" s="10" t="s">
        <v>11</v>
      </c>
      <c r="CE17" s="7" t="s">
        <v>7</v>
      </c>
      <c r="CF17" s="8" t="s">
        <v>8</v>
      </c>
      <c r="CG17" s="9" t="s">
        <v>10</v>
      </c>
      <c r="CH17" s="10" t="s">
        <v>11</v>
      </c>
      <c r="CI17" s="7" t="s">
        <v>7</v>
      </c>
      <c r="CJ17" s="8" t="s">
        <v>8</v>
      </c>
      <c r="CK17" s="9" t="s">
        <v>10</v>
      </c>
      <c r="CL17" s="10" t="s">
        <v>11</v>
      </c>
      <c r="CM17" s="7" t="s">
        <v>7</v>
      </c>
      <c r="CN17" s="8" t="s">
        <v>8</v>
      </c>
      <c r="CO17" s="9" t="s">
        <v>10</v>
      </c>
      <c r="CP17" s="10" t="s">
        <v>11</v>
      </c>
      <c r="CQ17" s="7" t="s">
        <v>7</v>
      </c>
      <c r="CR17" s="8" t="s">
        <v>8</v>
      </c>
      <c r="CS17" s="9" t="s">
        <v>10</v>
      </c>
      <c r="CT17" s="10" t="s">
        <v>11</v>
      </c>
      <c r="CU17" s="7" t="s">
        <v>7</v>
      </c>
      <c r="CV17" s="8" t="s">
        <v>8</v>
      </c>
      <c r="CW17" s="9" t="s">
        <v>10</v>
      </c>
      <c r="CX17" s="10" t="s">
        <v>11</v>
      </c>
      <c r="CY17" s="7" t="s">
        <v>7</v>
      </c>
      <c r="CZ17" s="8" t="s">
        <v>8</v>
      </c>
      <c r="DA17" s="9" t="s">
        <v>10</v>
      </c>
      <c r="DB17" s="10" t="s">
        <v>11</v>
      </c>
      <c r="DC17" s="7" t="s">
        <v>7</v>
      </c>
      <c r="DD17" s="8" t="s">
        <v>8</v>
      </c>
      <c r="DE17" s="9" t="s">
        <v>10</v>
      </c>
      <c r="DF17" s="10" t="s">
        <v>11</v>
      </c>
      <c r="DG17" s="7" t="s">
        <v>7</v>
      </c>
      <c r="DH17" s="8" t="s">
        <v>8</v>
      </c>
      <c r="DI17" s="9" t="s">
        <v>10</v>
      </c>
      <c r="DJ17" s="10" t="s">
        <v>11</v>
      </c>
      <c r="DK17" s="7" t="s">
        <v>7</v>
      </c>
      <c r="DL17" s="8" t="s">
        <v>8</v>
      </c>
      <c r="DM17" s="9" t="s">
        <v>10</v>
      </c>
      <c r="DN17" s="10" t="s">
        <v>11</v>
      </c>
      <c r="DO17" s="7" t="s">
        <v>7</v>
      </c>
      <c r="DP17" s="8" t="s">
        <v>8</v>
      </c>
      <c r="DQ17" s="9" t="s">
        <v>10</v>
      </c>
      <c r="DR17" s="10" t="s">
        <v>11</v>
      </c>
      <c r="DS17" s="7" t="s">
        <v>7</v>
      </c>
      <c r="DT17" s="8" t="s">
        <v>8</v>
      </c>
      <c r="DU17" s="9" t="s">
        <v>10</v>
      </c>
      <c r="DV17" s="10" t="s">
        <v>11</v>
      </c>
      <c r="DW17" s="7" t="s">
        <v>7</v>
      </c>
      <c r="DX17" s="8" t="s">
        <v>8</v>
      </c>
      <c r="DY17" s="9" t="s">
        <v>10</v>
      </c>
      <c r="DZ17" s="10" t="s">
        <v>11</v>
      </c>
      <c r="EA17" s="7" t="s">
        <v>7</v>
      </c>
      <c r="EB17" s="8" t="s">
        <v>8</v>
      </c>
      <c r="EC17" s="9" t="s">
        <v>10</v>
      </c>
      <c r="ED17" s="10" t="s">
        <v>11</v>
      </c>
      <c r="EE17" s="7" t="s">
        <v>7</v>
      </c>
      <c r="EF17" s="8" t="s">
        <v>8</v>
      </c>
      <c r="EG17" s="9" t="s">
        <v>10</v>
      </c>
      <c r="EH17" s="10" t="s">
        <v>11</v>
      </c>
      <c r="EI17" s="7" t="s">
        <v>7</v>
      </c>
      <c r="EJ17" s="8" t="s">
        <v>8</v>
      </c>
      <c r="EK17" s="9" t="s">
        <v>10</v>
      </c>
      <c r="EL17" s="10" t="s">
        <v>11</v>
      </c>
      <c r="EM17" s="7" t="s">
        <v>7</v>
      </c>
      <c r="EN17" s="8" t="s">
        <v>8</v>
      </c>
      <c r="EO17" s="9" t="s">
        <v>10</v>
      </c>
      <c r="EP17" s="10" t="s">
        <v>11</v>
      </c>
      <c r="EQ17" s="7" t="s">
        <v>7</v>
      </c>
      <c r="ER17" s="8" t="s">
        <v>8</v>
      </c>
      <c r="ES17" s="9" t="s">
        <v>10</v>
      </c>
      <c r="ET17" s="10" t="s">
        <v>11</v>
      </c>
      <c r="EU17" s="7" t="s">
        <v>7</v>
      </c>
      <c r="EV17" s="8" t="s">
        <v>8</v>
      </c>
      <c r="EW17" s="9" t="s">
        <v>10</v>
      </c>
      <c r="EX17" s="10" t="s">
        <v>11</v>
      </c>
      <c r="EY17" s="7" t="s">
        <v>7</v>
      </c>
      <c r="EZ17" s="8" t="s">
        <v>8</v>
      </c>
      <c r="FA17" s="9" t="s">
        <v>10</v>
      </c>
      <c r="FB17" s="10" t="s">
        <v>11</v>
      </c>
      <c r="FC17" s="7" t="s">
        <v>7</v>
      </c>
      <c r="FD17" s="8" t="s">
        <v>8</v>
      </c>
      <c r="FE17" s="9" t="s">
        <v>10</v>
      </c>
      <c r="FF17" s="10" t="s">
        <v>11</v>
      </c>
      <c r="FG17" s="7" t="s">
        <v>7</v>
      </c>
      <c r="FH17" s="8" t="s">
        <v>8</v>
      </c>
      <c r="FI17" s="9" t="s">
        <v>10</v>
      </c>
      <c r="FJ17" s="10" t="s">
        <v>11</v>
      </c>
      <c r="FK17" s="7" t="s">
        <v>7</v>
      </c>
      <c r="FL17" s="8" t="s">
        <v>8</v>
      </c>
      <c r="FM17" s="9" t="s">
        <v>10</v>
      </c>
      <c r="FN17" s="10" t="s">
        <v>11</v>
      </c>
      <c r="FO17" s="7" t="s">
        <v>7</v>
      </c>
      <c r="FP17" s="8" t="s">
        <v>8</v>
      </c>
      <c r="FQ17" s="9" t="s">
        <v>10</v>
      </c>
      <c r="FR17" s="10" t="s">
        <v>11</v>
      </c>
      <c r="FS17" s="7" t="s">
        <v>7</v>
      </c>
      <c r="FT17" s="8" t="s">
        <v>8</v>
      </c>
      <c r="FU17" s="9" t="s">
        <v>10</v>
      </c>
      <c r="FV17" s="10" t="s">
        <v>11</v>
      </c>
      <c r="FW17" s="7" t="s">
        <v>7</v>
      </c>
      <c r="FX17" s="8" t="s">
        <v>8</v>
      </c>
      <c r="FY17" s="9" t="s">
        <v>10</v>
      </c>
      <c r="FZ17" s="10" t="s">
        <v>11</v>
      </c>
      <c r="GA17" s="7" t="s">
        <v>7</v>
      </c>
      <c r="GB17" s="8" t="s">
        <v>8</v>
      </c>
      <c r="GC17" s="9" t="s">
        <v>10</v>
      </c>
      <c r="GD17" s="10" t="s">
        <v>11</v>
      </c>
      <c r="GE17" s="7" t="s">
        <v>7</v>
      </c>
      <c r="GF17" s="8" t="s">
        <v>8</v>
      </c>
      <c r="GG17" s="9" t="s">
        <v>10</v>
      </c>
      <c r="GH17" s="10" t="s">
        <v>11</v>
      </c>
      <c r="GI17" s="7" t="s">
        <v>7</v>
      </c>
      <c r="GJ17" s="8" t="s">
        <v>8</v>
      </c>
      <c r="GK17" s="9" t="s">
        <v>10</v>
      </c>
      <c r="GL17" s="10" t="s">
        <v>11</v>
      </c>
    </row>
    <row r="18" spans="2:194">
      <c r="B18" s="2" t="s">
        <v>118</v>
      </c>
      <c r="C18" s="11">
        <v>1103222</v>
      </c>
      <c r="D18" s="12">
        <v>19509216</v>
      </c>
      <c r="E18" s="13">
        <f>D18/C18</f>
        <v>17.68385329516634</v>
      </c>
      <c r="F18" s="14">
        <f>E18*3.30578512</f>
        <v>58.459019087423854</v>
      </c>
      <c r="G18" s="11">
        <v>159225</v>
      </c>
      <c r="H18" s="12">
        <v>5993976</v>
      </c>
      <c r="I18" s="13">
        <f>H18/G18</f>
        <v>37.644691474328781</v>
      </c>
      <c r="J18" s="14">
        <f>I18*3.30578512</f>
        <v>124.44526092282695</v>
      </c>
      <c r="K18" s="11">
        <v>75673</v>
      </c>
      <c r="L18" s="12">
        <v>1420880</v>
      </c>
      <c r="M18" s="13">
        <f>L18/K18</f>
        <v>18.776578171871076</v>
      </c>
      <c r="N18" s="14">
        <f>M18*3.30578512</f>
        <v>62.071332725088205</v>
      </c>
      <c r="O18" s="11">
        <v>41719</v>
      </c>
      <c r="P18" s="12">
        <v>1258500</v>
      </c>
      <c r="Q18" s="13">
        <f>P18/O18</f>
        <v>30.166111364126657</v>
      </c>
      <c r="R18" s="14">
        <f>Q18*3.30578512</f>
        <v>99.722682075792804</v>
      </c>
      <c r="S18" s="11">
        <v>36580</v>
      </c>
      <c r="T18" s="12">
        <v>711484</v>
      </c>
      <c r="U18" s="13">
        <f>T18/S18</f>
        <v>19.450082012028432</v>
      </c>
      <c r="V18" s="14">
        <f>U18*3.30578512</f>
        <v>64.297791698143243</v>
      </c>
      <c r="W18" s="11">
        <v>107748</v>
      </c>
      <c r="X18" s="12">
        <v>2528819</v>
      </c>
      <c r="Y18" s="13">
        <f>X18/W18</f>
        <v>23.469753498904851</v>
      </c>
      <c r="Z18" s="14">
        <f>Y18*3.30578512</f>
        <v>77.585961886747583</v>
      </c>
      <c r="AA18" s="11">
        <v>102739</v>
      </c>
      <c r="AB18" s="12">
        <v>3257069</v>
      </c>
      <c r="AC18" s="13">
        <f>AB18/AA18</f>
        <v>31.702362296693565</v>
      </c>
      <c r="AD18" s="14">
        <f>AC18*3.30578512</f>
        <v>104.8011975492586</v>
      </c>
      <c r="AE18" s="11">
        <v>466219</v>
      </c>
      <c r="AF18" s="12">
        <v>22831606</v>
      </c>
      <c r="AG18" s="13">
        <f>AF18/AE18</f>
        <v>48.971847994182994</v>
      </c>
      <c r="AH18" s="14">
        <f>AG18*3.30578512</f>
        <v>161.89040639807197</v>
      </c>
      <c r="AI18" s="11">
        <v>60919</v>
      </c>
      <c r="AJ18" s="12">
        <v>1858333</v>
      </c>
      <c r="AK18" s="13">
        <f>AJ18/AI18</f>
        <v>30.504982025312302</v>
      </c>
      <c r="AL18" s="14">
        <f>AK18*3.30578512</f>
        <v>100.84291566514487</v>
      </c>
      <c r="AM18" s="11">
        <v>122998</v>
      </c>
      <c r="AN18" s="12">
        <v>2556975</v>
      </c>
      <c r="AO18" s="13">
        <f>AN18/AM18</f>
        <v>20.788752662644921</v>
      </c>
      <c r="AP18" s="14">
        <f>AO18*3.30578512</f>
        <v>68.723149215531961</v>
      </c>
      <c r="AQ18" s="11">
        <v>51633</v>
      </c>
      <c r="AR18" s="12">
        <v>1309923</v>
      </c>
      <c r="AS18" s="13">
        <f>AR18/AQ18</f>
        <v>25.369879728080878</v>
      </c>
      <c r="AT18" s="14">
        <f>AS18*3.30578512</f>
        <v>83.867370901279415</v>
      </c>
      <c r="AU18" s="11">
        <v>143935</v>
      </c>
      <c r="AV18" s="12">
        <v>5404134</v>
      </c>
      <c r="AW18" s="13">
        <f>AV18/AU18</f>
        <v>37.54565602528919</v>
      </c>
      <c r="AX18" s="14">
        <f>AW18*3.30578512</f>
        <v>124.11787100903935</v>
      </c>
      <c r="AY18" s="11">
        <v>39881</v>
      </c>
      <c r="AZ18" s="12">
        <v>1205900</v>
      </c>
      <c r="BA18" s="13">
        <f>AZ18/AY18</f>
        <v>30.237456432887843</v>
      </c>
      <c r="BB18" s="14">
        <f>BA18*3.30578512</f>
        <v>99.958533542488908</v>
      </c>
      <c r="BC18" s="11">
        <v>143379</v>
      </c>
      <c r="BD18" s="12">
        <v>3659626</v>
      </c>
      <c r="BE18" s="13">
        <f>BD18/BC18</f>
        <v>25.524142308148335</v>
      </c>
      <c r="BF18" s="14">
        <f>BE18*3.30578512</f>
        <v>84.37732984303922</v>
      </c>
      <c r="BG18" s="11">
        <v>98141</v>
      </c>
      <c r="BH18" s="12">
        <v>6161740</v>
      </c>
      <c r="BI18" s="13">
        <f>BH18/BG18</f>
        <v>62.784565064549987</v>
      </c>
      <c r="BJ18" s="14">
        <f>BI18*3.30578512</f>
        <v>207.5522809560612</v>
      </c>
      <c r="BK18" s="11">
        <v>63717</v>
      </c>
      <c r="BL18" s="12">
        <v>1194731</v>
      </c>
      <c r="BM18" s="13">
        <f>BL18/BK18</f>
        <v>18.750584616350423</v>
      </c>
      <c r="BN18" s="14">
        <f>BM18*3.30578512</f>
        <v>61.985403616032137</v>
      </c>
      <c r="BO18" s="11">
        <v>109508</v>
      </c>
      <c r="BP18" s="12">
        <v>3975640</v>
      </c>
      <c r="BQ18" s="13">
        <f>BP18/BO18</f>
        <v>36.304562223764471</v>
      </c>
      <c r="BR18" s="14">
        <f>BQ18*3.30578512</f>
        <v>120.01508158743469</v>
      </c>
      <c r="BS18" s="11">
        <v>22215</v>
      </c>
      <c r="BT18" s="12">
        <v>576600</v>
      </c>
      <c r="BU18" s="13">
        <f>BT18/BS18</f>
        <v>25.955435516542877</v>
      </c>
      <c r="BV18" s="14">
        <f>BU18*3.30578512</f>
        <v>85.803092513706957</v>
      </c>
      <c r="BW18" s="11">
        <v>120167</v>
      </c>
      <c r="BX18" s="12">
        <v>5057849</v>
      </c>
      <c r="BY18" s="13">
        <f>BX18/BW18</f>
        <v>42.090166185391993</v>
      </c>
      <c r="BZ18" s="14">
        <f>BY18*3.30578512</f>
        <v>139.141045073996</v>
      </c>
      <c r="CA18" s="11">
        <v>100204</v>
      </c>
      <c r="CB18" s="12">
        <v>4395390</v>
      </c>
      <c r="CC18" s="13">
        <f>CB18/CA18</f>
        <v>43.864416590156083</v>
      </c>
      <c r="CD18" s="14">
        <f>CC18*3.30578512</f>
        <v>145.00633566121911</v>
      </c>
      <c r="CE18" s="11">
        <v>44090</v>
      </c>
      <c r="CF18" s="12">
        <v>1815671</v>
      </c>
      <c r="CG18" s="13">
        <f>CF18/CE18</f>
        <v>41.18101610342481</v>
      </c>
      <c r="CH18" s="14">
        <f>CG18*3.30578512</f>
        <v>136.1355902611821</v>
      </c>
      <c r="CI18" s="11">
        <v>40642</v>
      </c>
      <c r="CJ18" s="12">
        <v>1627548</v>
      </c>
      <c r="CK18" s="13">
        <f>CJ18/CI18</f>
        <v>40.045962305004672</v>
      </c>
      <c r="CL18" s="14">
        <f>CK18*3.30578512</f>
        <v>132.38334630396534</v>
      </c>
      <c r="CM18" s="11">
        <v>156857</v>
      </c>
      <c r="CN18" s="12">
        <v>5989746</v>
      </c>
      <c r="CO18" s="13">
        <f>CN18/CM18</f>
        <v>38.186029313323601</v>
      </c>
      <c r="CP18" s="14">
        <f>CO18*3.30578512</f>
        <v>126.23480749586898</v>
      </c>
      <c r="CQ18" s="11">
        <v>129724</v>
      </c>
      <c r="CR18" s="12">
        <v>4570680</v>
      </c>
      <c r="CS18" s="13">
        <f>CR18/CQ18</f>
        <v>35.233881163084703</v>
      </c>
      <c r="CT18" s="14">
        <f>CS18*3.30578512</f>
        <v>116.4756400687737</v>
      </c>
      <c r="CU18" s="11">
        <v>69386</v>
      </c>
      <c r="CV18" s="12">
        <v>3711854</v>
      </c>
      <c r="CW18" s="13">
        <f>CV18/CU18</f>
        <v>53.495719597613352</v>
      </c>
      <c r="CX18" s="14">
        <f>CW18*3.30578512</f>
        <v>176.8453538294826</v>
      </c>
      <c r="CY18" s="11">
        <v>453605</v>
      </c>
      <c r="CZ18" s="12">
        <v>17408583</v>
      </c>
      <c r="DA18" s="13">
        <f>CZ18/CY18</f>
        <v>38.37828727637482</v>
      </c>
      <c r="DB18" s="14">
        <f>DA18*3.30578512</f>
        <v>126.87037100932521</v>
      </c>
      <c r="DC18" s="11">
        <v>70556</v>
      </c>
      <c r="DD18" s="12">
        <v>3013703</v>
      </c>
      <c r="DE18" s="13">
        <f>DD18/DC18</f>
        <v>42.713631725154485</v>
      </c>
      <c r="DF18" s="14">
        <f>DE18*3.30578512</f>
        <v>141.20208817817561</v>
      </c>
      <c r="DG18" s="11">
        <v>332838</v>
      </c>
      <c r="DH18" s="12">
        <v>15401400</v>
      </c>
      <c r="DI18" s="13">
        <f>DH18/DG18</f>
        <v>46.272961620968758</v>
      </c>
      <c r="DJ18" s="14">
        <f>DI18*3.30578512</f>
        <v>152.96846798492959</v>
      </c>
      <c r="DK18" s="11">
        <v>236995</v>
      </c>
      <c r="DL18" s="12">
        <v>14028450</v>
      </c>
      <c r="DM18" s="13">
        <f>DL18/DK18</f>
        <v>59.193020949809068</v>
      </c>
      <c r="DN18" s="14">
        <f>DM18*3.30578512</f>
        <v>195.67940786372708</v>
      </c>
      <c r="DO18" s="11">
        <v>108920</v>
      </c>
      <c r="DP18" s="12">
        <v>2562775</v>
      </c>
      <c r="DQ18" s="13">
        <f>DP18/DO18</f>
        <v>23.528966213734851</v>
      </c>
      <c r="DR18" s="14">
        <f>DQ18*3.30578512</f>
        <v>77.78170639834741</v>
      </c>
      <c r="DS18" s="11">
        <v>55373</v>
      </c>
      <c r="DT18" s="12">
        <v>2008887</v>
      </c>
      <c r="DU18" s="13">
        <f>DT18/DS18</f>
        <v>36.279179383454029</v>
      </c>
      <c r="DV18" s="14">
        <f>DU18*3.30578512</f>
        <v>119.9311713716331</v>
      </c>
      <c r="DW18" s="11">
        <v>523788</v>
      </c>
      <c r="DX18" s="12">
        <v>19125330</v>
      </c>
      <c r="DY18" s="13">
        <f>DX18/DW18</f>
        <v>36.513494009026552</v>
      </c>
      <c r="DZ18" s="14">
        <f>DY18*3.30578512</f>
        <v>120.70576517424912</v>
      </c>
      <c r="EA18" s="11">
        <v>126018</v>
      </c>
      <c r="EB18" s="12">
        <v>10329075</v>
      </c>
      <c r="EC18" s="13">
        <f>EB18/EA18</f>
        <v>81.965076417654615</v>
      </c>
      <c r="ED18" s="14">
        <f>EC18*3.30578512</f>
        <v>270.9589299811455</v>
      </c>
      <c r="EE18" s="11">
        <v>56886</v>
      </c>
      <c r="EF18" s="12">
        <v>2276608</v>
      </c>
      <c r="EG18" s="13">
        <f>EF18/EE18</f>
        <v>40.020532292655489</v>
      </c>
      <c r="EH18" s="14">
        <f>EG18*3.30578512</f>
        <v>132.29928014754</v>
      </c>
      <c r="EI18" s="11">
        <v>89961</v>
      </c>
      <c r="EJ18" s="12">
        <v>3861400</v>
      </c>
      <c r="EK18" s="13">
        <f>EJ18/EI18</f>
        <v>42.923044430364271</v>
      </c>
      <c r="EL18" s="14">
        <f>EK18*3.30578512</f>
        <v>141.89436158299708</v>
      </c>
      <c r="EM18" s="11">
        <v>262130</v>
      </c>
      <c r="EN18" s="12">
        <v>5048134</v>
      </c>
      <c r="EO18" s="13">
        <f>EN18/EM18</f>
        <v>19.258131461488574</v>
      </c>
      <c r="EP18" s="14">
        <f>EO18*3.30578512</f>
        <v>63.663244424392779</v>
      </c>
      <c r="EQ18" s="11">
        <v>91150</v>
      </c>
      <c r="ER18" s="12">
        <v>2552985</v>
      </c>
      <c r="ES18" s="13">
        <f>ER18/EQ18</f>
        <v>28.008612177729017</v>
      </c>
      <c r="ET18" s="14">
        <f>ES18*3.30578512</f>
        <v>92.590453368987383</v>
      </c>
      <c r="EU18" s="11">
        <v>126520</v>
      </c>
      <c r="EV18" s="12">
        <v>4244079</v>
      </c>
      <c r="EW18" s="13">
        <f>EV18/EU18</f>
        <v>33.544728106228263</v>
      </c>
      <c r="EX18" s="14">
        <f>EW18*3.30578512</f>
        <v>110.89166302801517</v>
      </c>
      <c r="EY18" s="11">
        <v>116427</v>
      </c>
      <c r="EZ18" s="12">
        <v>7631509</v>
      </c>
      <c r="FA18" s="13">
        <f>EZ18/EY18</f>
        <v>65.547587758853183</v>
      </c>
      <c r="FB18" s="14">
        <f>FA18*3.30578512</f>
        <v>216.686240265111</v>
      </c>
      <c r="FC18" s="11">
        <v>512631</v>
      </c>
      <c r="FD18" s="12">
        <v>33631871</v>
      </c>
      <c r="FE18" s="13">
        <f>FD18/FC18</f>
        <v>65.6063932926413</v>
      </c>
      <c r="FF18" s="14">
        <f>FE18*3.30578512</f>
        <v>216.88063872368141</v>
      </c>
      <c r="FG18" s="11">
        <v>981465</v>
      </c>
      <c r="FH18" s="12">
        <v>74897323</v>
      </c>
      <c r="FI18" s="13">
        <f>FH18/FG18</f>
        <v>76.31176149939121</v>
      </c>
      <c r="FJ18" s="14">
        <f>FI18*3.30578512</f>
        <v>252.27028564567635</v>
      </c>
      <c r="FK18" s="11">
        <v>421367</v>
      </c>
      <c r="FL18" s="12">
        <v>19018430</v>
      </c>
      <c r="FM18" s="13">
        <f>FL18/FK18</f>
        <v>45.13507227666144</v>
      </c>
      <c r="FN18" s="14">
        <f>FM18*3.30578512</f>
        <v>149.20685032231191</v>
      </c>
      <c r="FO18" s="11">
        <v>324000</v>
      </c>
      <c r="FP18" s="12">
        <v>13701446</v>
      </c>
      <c r="FQ18" s="13">
        <f>FP18/FO18</f>
        <v>42.28841358024691</v>
      </c>
      <c r="FR18" s="14">
        <f>FQ18*3.30578512</f>
        <v>139.79640836198615</v>
      </c>
      <c r="FS18" s="11">
        <v>265842</v>
      </c>
      <c r="FT18" s="12">
        <v>9772874</v>
      </c>
      <c r="FU18" s="13">
        <f>FT18/FS18</f>
        <v>36.761963873278113</v>
      </c>
      <c r="FV18" s="14">
        <f>FU18*3.30578512</f>
        <v>121.52715315426035</v>
      </c>
      <c r="FW18" s="11">
        <v>258130</v>
      </c>
      <c r="FX18" s="12">
        <v>14909790</v>
      </c>
      <c r="FY18" s="13">
        <f>FX18/FW18</f>
        <v>57.760779452214003</v>
      </c>
      <c r="FZ18" s="14">
        <f>FY18*3.30578512</f>
        <v>190.9447252327308</v>
      </c>
      <c r="GA18" s="11">
        <v>734078</v>
      </c>
      <c r="GB18" s="31">
        <v>38824049</v>
      </c>
      <c r="GC18" s="32">
        <f t="shared" ref="GC18:GC25" si="90">GB18/GA18</f>
        <v>52.888179457768793</v>
      </c>
      <c r="GD18" s="14">
        <f t="shared" ref="GD18:GD25" si="91">GC18*3.30578512</f>
        <v>174.83695667538174</v>
      </c>
      <c r="GE18" s="11">
        <v>274612</v>
      </c>
      <c r="GF18" s="31">
        <v>10789496</v>
      </c>
      <c r="GG18" s="32">
        <f t="shared" ref="GG18:GG25" si="92">GF18/GE18</f>
        <v>39.289965478566124</v>
      </c>
      <c r="GH18" s="14">
        <f t="shared" ref="GH18:GH25" si="93">GG18*3.30578512</f>
        <v>129.88418324435756</v>
      </c>
      <c r="GI18" s="11">
        <v>197908</v>
      </c>
      <c r="GJ18" s="31">
        <v>8660604</v>
      </c>
      <c r="GK18" s="32">
        <f t="shared" ref="GK18:GK25" si="94">GJ18/GI18</f>
        <v>43.760757523697883</v>
      </c>
      <c r="GL18" s="14">
        <f t="shared" ref="GL18:GL25" si="95">GK18*3.30578512</f>
        <v>144.66366106176849</v>
      </c>
    </row>
    <row r="19" spans="2:194">
      <c r="B19" s="2" t="s">
        <v>0</v>
      </c>
      <c r="C19" s="11">
        <v>498519</v>
      </c>
      <c r="D19" s="12">
        <v>9638971</v>
      </c>
      <c r="E19" s="13">
        <f>D19/C19</f>
        <v>19.335212900611612</v>
      </c>
      <c r="F19" s="14">
        <f>E19*3.30578512</f>
        <v>63.918059098873904</v>
      </c>
      <c r="G19" s="11">
        <v>80650</v>
      </c>
      <c r="H19" s="12">
        <v>3313000</v>
      </c>
      <c r="I19" s="13">
        <f>H19/G19</f>
        <v>41.078735275883446</v>
      </c>
      <c r="J19" s="14">
        <f>I19*3.30578512</f>
        <v>135.79747182343459</v>
      </c>
      <c r="K19" s="11">
        <v>4639</v>
      </c>
      <c r="L19" s="12">
        <v>122000</v>
      </c>
      <c r="M19" s="13">
        <f>L19/K19</f>
        <v>26.298771286915283</v>
      </c>
      <c r="N19" s="14">
        <f>M19*3.30578512</f>
        <v>86.938086794567795</v>
      </c>
      <c r="O19" s="11">
        <v>15483</v>
      </c>
      <c r="P19" s="12">
        <v>580450</v>
      </c>
      <c r="Q19" s="13">
        <f>P19/O19</f>
        <v>37.489504617968095</v>
      </c>
      <c r="R19" s="14">
        <f>Q19*3.30578512</f>
        <v>123.93224652225021</v>
      </c>
      <c r="S19" s="11">
        <v>1714</v>
      </c>
      <c r="T19" s="12">
        <v>35400</v>
      </c>
      <c r="U19" s="13">
        <f>T19/S19</f>
        <v>20.653442240373394</v>
      </c>
      <c r="V19" s="14">
        <f>U19*3.30578512</f>
        <v>68.275842035005823</v>
      </c>
      <c r="W19" s="11">
        <v>24514</v>
      </c>
      <c r="X19" s="12">
        <v>969760</v>
      </c>
      <c r="Y19" s="13">
        <f>X19/W19</f>
        <v>39.559435424655298</v>
      </c>
      <c r="Z19" s="14">
        <f>Y19*3.30578512</f>
        <v>130.77499298242637</v>
      </c>
      <c r="AA19" s="11">
        <v>44780</v>
      </c>
      <c r="AB19" s="12">
        <v>1883437</v>
      </c>
      <c r="AC19" s="13">
        <f>AB19/AA19</f>
        <v>42.059781152300133</v>
      </c>
      <c r="AD19" s="14">
        <f>AC19*3.30578512</f>
        <v>139.04059868373022</v>
      </c>
      <c r="AE19" s="11">
        <v>234789</v>
      </c>
      <c r="AF19" s="12">
        <v>13363500</v>
      </c>
      <c r="AG19" s="13">
        <f>AF19/AE19</f>
        <v>56.917061702209217</v>
      </c>
      <c r="AH19" s="14">
        <f>AG19*3.30578512</f>
        <v>188.15557564928508</v>
      </c>
      <c r="AI19" s="11">
        <v>2280</v>
      </c>
      <c r="AJ19" s="12">
        <v>75000</v>
      </c>
      <c r="AK19" s="13">
        <f>AJ19/AI19</f>
        <v>32.89473684210526</v>
      </c>
      <c r="AL19" s="14">
        <f>AK19*3.30578512</f>
        <v>108.74293157894735</v>
      </c>
      <c r="AM19" s="11">
        <v>5892</v>
      </c>
      <c r="AN19" s="12">
        <v>327700</v>
      </c>
      <c r="AO19" s="13">
        <f>AN19/AM19</f>
        <v>55.61778682959946</v>
      </c>
      <c r="AP19" s="14">
        <f>AO19*3.30578512</f>
        <v>183.86045210862187</v>
      </c>
      <c r="AQ19" s="11">
        <v>797</v>
      </c>
      <c r="AR19" s="12">
        <v>20184</v>
      </c>
      <c r="AS19" s="13">
        <f>AR19/AQ19</f>
        <v>25.324968632371391</v>
      </c>
      <c r="AT19" s="14">
        <f>AS19*3.30578512</f>
        <v>83.718904469360098</v>
      </c>
      <c r="AU19" s="11">
        <v>29687</v>
      </c>
      <c r="AV19" s="12">
        <v>1023892</v>
      </c>
      <c r="AW19" s="13">
        <f>AV19/AU19</f>
        <v>34.489574561255772</v>
      </c>
      <c r="AX19" s="14">
        <f>AW19*3.30578512</f>
        <v>114.01512237972986</v>
      </c>
      <c r="AY19" s="11">
        <v>915</v>
      </c>
      <c r="AZ19" s="12">
        <v>24200</v>
      </c>
      <c r="BA19" s="13">
        <f>AZ19/AY19</f>
        <v>26.448087431693988</v>
      </c>
      <c r="BB19" s="14">
        <f>BA19*3.30578512</f>
        <v>87.431693884153006</v>
      </c>
      <c r="BC19" s="11">
        <v>46977</v>
      </c>
      <c r="BD19" s="12">
        <v>1820500</v>
      </c>
      <c r="BE19" s="13">
        <f>BD19/BC19</f>
        <v>38.75300679055708</v>
      </c>
      <c r="BF19" s="14">
        <f>BE19*3.30578512</f>
        <v>128.10911320348254</v>
      </c>
      <c r="BG19" s="11">
        <v>22073</v>
      </c>
      <c r="BH19" s="12">
        <v>1270000</v>
      </c>
      <c r="BI19" s="13">
        <f>BH19/BG19</f>
        <v>57.536356634802701</v>
      </c>
      <c r="BJ19" s="14">
        <f>BI19*3.30578512</f>
        <v>190.20283162234404</v>
      </c>
      <c r="BK19" s="11">
        <v>9274</v>
      </c>
      <c r="BL19" s="12">
        <v>397100</v>
      </c>
      <c r="BM19" s="13">
        <f>BL19/BK19</f>
        <v>42.818632736683199</v>
      </c>
      <c r="BN19" s="14">
        <f>BM19*3.30578512</f>
        <v>141.5491989596722</v>
      </c>
      <c r="BO19" s="11">
        <v>63729</v>
      </c>
      <c r="BP19" s="12">
        <v>2824400</v>
      </c>
      <c r="BQ19" s="13">
        <f>BP19/BO19</f>
        <v>44.318912896797379</v>
      </c>
      <c r="BR19" s="14">
        <f>BQ19*3.30578512</f>
        <v>146.50880278880888</v>
      </c>
      <c r="BS19" s="11">
        <v>3286</v>
      </c>
      <c r="BT19" s="12">
        <v>111200</v>
      </c>
      <c r="BU19" s="13">
        <f>BT19/BS19</f>
        <v>33.840535605599513</v>
      </c>
      <c r="BV19" s="14">
        <f>BU19*3.30578512</f>
        <v>111.86953905782106</v>
      </c>
      <c r="BW19" s="11">
        <v>91302</v>
      </c>
      <c r="BX19" s="12">
        <v>4254000</v>
      </c>
      <c r="BY19" s="13">
        <f>BX19/BW19</f>
        <v>46.592626667542881</v>
      </c>
      <c r="BZ19" s="14">
        <f>BY19*3.30578512</f>
        <v>154.02521193927845</v>
      </c>
      <c r="CA19" s="11">
        <v>60478</v>
      </c>
      <c r="CB19" s="12">
        <v>3539990</v>
      </c>
      <c r="CC19" s="13">
        <f>CB19/CA19</f>
        <v>58.533516319984123</v>
      </c>
      <c r="CD19" s="14">
        <f>CC19*3.30578512</f>
        <v>193.49922727188067</v>
      </c>
      <c r="CE19" s="11">
        <v>4796</v>
      </c>
      <c r="CF19" s="12">
        <v>191500</v>
      </c>
      <c r="CG19" s="13">
        <f>CF19/CE19</f>
        <v>39.929107589658045</v>
      </c>
      <c r="CH19" s="14">
        <f>CG19*3.30578512</f>
        <v>131.99704972477062</v>
      </c>
      <c r="CI19" s="11">
        <v>21176</v>
      </c>
      <c r="CJ19" s="12">
        <v>1108400</v>
      </c>
      <c r="CK19" s="13">
        <f>CJ19/CI19</f>
        <v>52.342274272761614</v>
      </c>
      <c r="CL19" s="14">
        <f>CK19*3.30578512</f>
        <v>173.03231143785416</v>
      </c>
      <c r="CM19" s="11">
        <v>121848</v>
      </c>
      <c r="CN19" s="12">
        <v>5081595</v>
      </c>
      <c r="CO19" s="13">
        <f>CN19/CM19</f>
        <v>41.704377585188105</v>
      </c>
      <c r="CP19" s="14">
        <f>CO19*3.30578512</f>
        <v>137.86571085997636</v>
      </c>
      <c r="CQ19" s="11">
        <v>96242</v>
      </c>
      <c r="CR19" s="12">
        <v>3775665</v>
      </c>
      <c r="CS19" s="13">
        <f>CR19/CQ19</f>
        <v>39.23094906589639</v>
      </c>
      <c r="CT19" s="14">
        <f>CS19*3.30578512</f>
        <v>129.68908766551817</v>
      </c>
      <c r="CU19" s="11">
        <v>4155</v>
      </c>
      <c r="CV19" s="12">
        <v>149000</v>
      </c>
      <c r="CW19" s="13">
        <f>CV19/CU19</f>
        <v>35.860409145607704</v>
      </c>
      <c r="CX19" s="14">
        <f>CW19*3.30578512</f>
        <v>118.54680695066186</v>
      </c>
      <c r="CY19" s="11">
        <v>412702</v>
      </c>
      <c r="CZ19" s="12">
        <v>15230143</v>
      </c>
      <c r="DA19" s="13">
        <f>CZ19/CY19</f>
        <v>36.903487261995338</v>
      </c>
      <c r="DB19" s="14">
        <f>DA19*3.30578512</f>
        <v>121.99499906681372</v>
      </c>
      <c r="DC19" s="11">
        <v>31070</v>
      </c>
      <c r="DD19" s="12">
        <v>706393</v>
      </c>
      <c r="DE19" s="13">
        <f>DD19/DC19</f>
        <v>22.735532668168652</v>
      </c>
      <c r="DF19" s="14">
        <f>DE19*3.30578512</f>
        <v>75.158785589705829</v>
      </c>
      <c r="DG19" s="11">
        <v>305819</v>
      </c>
      <c r="DH19" s="12">
        <v>14492500</v>
      </c>
      <c r="DI19" s="13">
        <f>DH19/DG19</f>
        <v>47.389141943437131</v>
      </c>
      <c r="DJ19" s="14">
        <f>DI19*3.30578512</f>
        <v>156.65832028618235</v>
      </c>
      <c r="DK19" s="11">
        <v>736</v>
      </c>
      <c r="DL19" s="12">
        <v>25800</v>
      </c>
      <c r="DM19" s="13">
        <f>DL19/DK19</f>
        <v>35.054347826086953</v>
      </c>
      <c r="DN19" s="14">
        <f>DM19*3.30578512</f>
        <v>115.8821414347826</v>
      </c>
      <c r="DO19" s="11">
        <v>78458</v>
      </c>
      <c r="DP19" s="12">
        <v>1191275</v>
      </c>
      <c r="DQ19" s="13">
        <f>DP19/DO19</f>
        <v>15.183601417318821</v>
      </c>
      <c r="DR19" s="14">
        <f>DQ19*3.30578512</f>
        <v>50.193723633383463</v>
      </c>
      <c r="DS19" s="11">
        <v>15607</v>
      </c>
      <c r="DT19" s="12">
        <v>778000</v>
      </c>
      <c r="DU19" s="13">
        <f>DT19/DS19</f>
        <v>49.849426539373361</v>
      </c>
      <c r="DV19" s="14">
        <f>DU19*3.30578512</f>
        <v>164.79149249439354</v>
      </c>
      <c r="DW19" s="11">
        <v>398799</v>
      </c>
      <c r="DX19" s="12">
        <v>16427800</v>
      </c>
      <c r="DY19" s="13">
        <f>DX19/DW19</f>
        <v>41.193182530547972</v>
      </c>
      <c r="DZ19" s="14">
        <f>DY19*3.30578512</f>
        <v>136.17580985492944</v>
      </c>
      <c r="EA19" s="11">
        <v>2434</v>
      </c>
      <c r="EB19" s="12">
        <v>170000</v>
      </c>
      <c r="EC19" s="13">
        <f>EB19/EA19</f>
        <v>69.843878389482327</v>
      </c>
      <c r="ED19" s="14">
        <f>EC19*3.30578512</f>
        <v>230.88885390304023</v>
      </c>
      <c r="EE19" s="11">
        <v>11024</v>
      </c>
      <c r="EF19" s="12">
        <v>689900</v>
      </c>
      <c r="EG19" s="13">
        <f>EF19/EE19</f>
        <v>62.58164005805515</v>
      </c>
      <c r="EH19" s="14">
        <f>EG19*3.30578512</f>
        <v>206.88145448911465</v>
      </c>
      <c r="EI19" s="11">
        <v>32876</v>
      </c>
      <c r="EJ19" s="12">
        <v>1239800</v>
      </c>
      <c r="EK19" s="13">
        <f>EJ19/EI19</f>
        <v>37.711400413675626</v>
      </c>
      <c r="EL19" s="14">
        <f>EK19*3.30578512</f>
        <v>124.66578634189072</v>
      </c>
      <c r="EM19" s="11">
        <v>1569</v>
      </c>
      <c r="EN19" s="12">
        <v>88500</v>
      </c>
      <c r="EO19" s="13">
        <f>EN19/EM19</f>
        <v>56.405353728489487</v>
      </c>
      <c r="EP19" s="14">
        <f>EO19*3.30578512</f>
        <v>186.46397904397705</v>
      </c>
      <c r="EQ19" s="11">
        <v>12984</v>
      </c>
      <c r="ER19" s="12">
        <v>793800</v>
      </c>
      <c r="ES19" s="13">
        <f>ER19/EQ19</f>
        <v>61.136783733826249</v>
      </c>
      <c r="ET19" s="14">
        <f>ES19*3.30578512</f>
        <v>202.10506995194086</v>
      </c>
      <c r="EU19" s="11">
        <v>23484</v>
      </c>
      <c r="EV19" s="12">
        <v>926228.83504000003</v>
      </c>
      <c r="EW19" s="13">
        <f>EV19/EU19</f>
        <v>39.440846322602624</v>
      </c>
      <c r="EX19" s="14">
        <f>EW19*3.30578512</f>
        <v>130.38296289346647</v>
      </c>
      <c r="EY19" s="11">
        <v>10211</v>
      </c>
      <c r="EZ19" s="12">
        <v>538339.59343000001</v>
      </c>
      <c r="FA19" s="13">
        <f>EZ19/EY19</f>
        <v>52.721534955440212</v>
      </c>
      <c r="FB19" s="14">
        <f>FA19*3.30578512</f>
        <v>174.28606575925411</v>
      </c>
      <c r="FC19" s="11">
        <v>263207</v>
      </c>
      <c r="FD19" s="12">
        <v>18687952.455249999</v>
      </c>
      <c r="FE19" s="13">
        <f>FD19/FC19</f>
        <v>71.000970548845586</v>
      </c>
      <c r="FF19" s="14">
        <f>FE19*3.30578512</f>
        <v>234.71395194593197</v>
      </c>
      <c r="FG19" s="11">
        <v>120803</v>
      </c>
      <c r="FH19" s="12">
        <v>7146627.2830800004</v>
      </c>
      <c r="FI19" s="13">
        <f>FH19/FG19</f>
        <v>59.159352690578878</v>
      </c>
      <c r="FJ19" s="14">
        <f>FI19*3.30578512</f>
        <v>195.56810783334763</v>
      </c>
      <c r="FK19" s="11">
        <v>83882</v>
      </c>
      <c r="FL19" s="12">
        <v>4607638.7684699995</v>
      </c>
      <c r="FM19" s="13">
        <f>FL19/FK19</f>
        <v>54.930006061729564</v>
      </c>
      <c r="FN19" s="14">
        <f>FM19*3.30578512</f>
        <v>181.58679668037539</v>
      </c>
      <c r="FO19" s="11">
        <v>59418</v>
      </c>
      <c r="FP19" s="12">
        <v>2871328.7543799998</v>
      </c>
      <c r="FQ19" s="13">
        <f>FP19/FO19</f>
        <v>48.324224214547776</v>
      </c>
      <c r="FR19" s="14">
        <f>FQ19*3.30578512</f>
        <v>159.74950134399572</v>
      </c>
      <c r="FS19" s="11">
        <v>66468</v>
      </c>
      <c r="FT19" s="12">
        <v>3447883.4260800001</v>
      </c>
      <c r="FU19" s="13">
        <f>FT19/FS19</f>
        <v>51.872832431846902</v>
      </c>
      <c r="FV19" s="14">
        <f>FU19*3.30578512</f>
        <v>171.4804375854529</v>
      </c>
      <c r="FW19" s="11">
        <v>57755</v>
      </c>
      <c r="FX19" s="12">
        <v>5069906.8462699996</v>
      </c>
      <c r="FY19" s="13">
        <f>FX19/FW19</f>
        <v>87.782994481343607</v>
      </c>
      <c r="FZ19" s="14">
        <f>FY19*3.30578512</f>
        <v>290.19171694546782</v>
      </c>
      <c r="GA19" s="35">
        <v>208895</v>
      </c>
      <c r="GB19" s="36">
        <v>16048052.187100001</v>
      </c>
      <c r="GC19" s="32">
        <f t="shared" si="90"/>
        <v>76.823534249742693</v>
      </c>
      <c r="GD19" s="14">
        <f t="shared" si="91"/>
        <v>253.96209638860975</v>
      </c>
      <c r="GE19" s="35">
        <v>68750</v>
      </c>
      <c r="GF19" s="36">
        <v>3714905.3433400001</v>
      </c>
      <c r="GG19" s="32">
        <f t="shared" si="92"/>
        <v>54.034986812218186</v>
      </c>
      <c r="GH19" s="14">
        <f t="shared" si="93"/>
        <v>178.62805536322711</v>
      </c>
      <c r="GI19" s="35">
        <v>27803</v>
      </c>
      <c r="GJ19" s="36">
        <v>1217216</v>
      </c>
      <c r="GK19" s="32">
        <f t="shared" si="94"/>
        <v>43.780023738445493</v>
      </c>
      <c r="GL19" s="14">
        <f t="shared" si="95"/>
        <v>144.72735102779987</v>
      </c>
    </row>
    <row r="20" spans="2:194">
      <c r="B20" s="2" t="s">
        <v>1</v>
      </c>
      <c r="C20" s="11">
        <v>227898</v>
      </c>
      <c r="D20" s="12">
        <v>2802810</v>
      </c>
      <c r="E20" s="13">
        <f t="shared" ref="E20:E25" si="96">D20/C20</f>
        <v>12.298528288971381</v>
      </c>
      <c r="F20" s="14">
        <f t="shared" ref="F20:F25" si="97">E20*3.30578512</f>
        <v>40.656291815580651</v>
      </c>
      <c r="G20" s="11">
        <v>1427</v>
      </c>
      <c r="H20" s="12">
        <v>48000</v>
      </c>
      <c r="I20" s="13">
        <f t="shared" ref="I20:I25" si="98">H20/G20</f>
        <v>33.637000700770848</v>
      </c>
      <c r="J20" s="14">
        <f t="shared" ref="J20:J25" si="99">I20*3.30578512</f>
        <v>111.19669639803784</v>
      </c>
      <c r="K20" s="11">
        <v>5729</v>
      </c>
      <c r="L20" s="12">
        <v>129000</v>
      </c>
      <c r="M20" s="13">
        <f t="shared" ref="M20:M25" si="100">L20/K20</f>
        <v>22.517018676906964</v>
      </c>
      <c r="N20" s="14">
        <f t="shared" ref="N20:N25" si="101">M20*3.30578512</f>
        <v>74.436425288881125</v>
      </c>
      <c r="O20" s="11">
        <v>2607</v>
      </c>
      <c r="P20" s="12">
        <v>87800</v>
      </c>
      <c r="Q20" s="13">
        <f t="shared" ref="Q20:Q25" si="102">P20/O20</f>
        <v>33.678557729190643</v>
      </c>
      <c r="R20" s="14">
        <f t="shared" ref="R20:R25" si="103">Q20*3.30578512</f>
        <v>111.33407500421941</v>
      </c>
      <c r="S20" s="11">
        <v>10534</v>
      </c>
      <c r="T20" s="12">
        <v>270000</v>
      </c>
      <c r="U20" s="13">
        <f t="shared" ref="U20:U25" si="104">T20/S20</f>
        <v>25.631289158913994</v>
      </c>
      <c r="V20" s="14">
        <f t="shared" ref="V20:V25" si="105">U20*3.30578512</f>
        <v>84.731534307955187</v>
      </c>
      <c r="W20" s="11">
        <v>2176</v>
      </c>
      <c r="X20" s="12">
        <v>67000</v>
      </c>
      <c r="Y20" s="13">
        <f t="shared" ref="Y20:Y25" si="106">X20/W20</f>
        <v>30.790441176470587</v>
      </c>
      <c r="Z20" s="14">
        <f t="shared" ref="Z20:Z25" si="107">Y20*3.30578512</f>
        <v>101.78658227941176</v>
      </c>
      <c r="AA20" s="11">
        <v>14619</v>
      </c>
      <c r="AB20" s="12">
        <v>383000</v>
      </c>
      <c r="AC20" s="13">
        <f t="shared" ref="AC20:AC25" si="108">AB20/AA20</f>
        <v>26.198782406457351</v>
      </c>
      <c r="AD20" s="14">
        <f t="shared" ref="AD20:AD25" si="109">AC20*3.30578512</f>
        <v>86.607545041384498</v>
      </c>
      <c r="AE20" s="11">
        <v>9175</v>
      </c>
      <c r="AF20" s="12">
        <v>266000</v>
      </c>
      <c r="AG20" s="13">
        <f t="shared" ref="AG20:AG25" si="110">AF20/AE20</f>
        <v>28.991825613079019</v>
      </c>
      <c r="AH20" s="14">
        <f t="shared" ref="AH20:AH25" si="111">AG20*3.30578512</f>
        <v>95.840745713351495</v>
      </c>
      <c r="AI20" s="11">
        <v>23849</v>
      </c>
      <c r="AJ20" s="12">
        <v>269649</v>
      </c>
      <c r="AK20" s="13">
        <f t="shared" ref="AK20:AK25" si="112">AJ20/AI20</f>
        <v>11.306511803429913</v>
      </c>
      <c r="AL20" s="14">
        <f t="shared" ref="AL20:AL25" si="113">AK20*3.30578512</f>
        <v>37.376898478882971</v>
      </c>
      <c r="AM20" s="11">
        <v>15</v>
      </c>
      <c r="AN20" s="12">
        <v>600</v>
      </c>
      <c r="AO20" s="13">
        <f t="shared" ref="AO20:AO25" si="114">AN20/AM20</f>
        <v>40</v>
      </c>
      <c r="AP20" s="14">
        <f t="shared" ref="AP20:AP25" si="115">AO20*3.30578512</f>
        <v>132.23140480000001</v>
      </c>
      <c r="AQ20" s="11">
        <v>37199</v>
      </c>
      <c r="AR20" s="12">
        <v>852022</v>
      </c>
      <c r="AS20" s="13">
        <f t="shared" ref="AS20:AS25" si="116">AR20/AQ20</f>
        <v>22.904432914863303</v>
      </c>
      <c r="AT20" s="14">
        <f t="shared" ref="AT20:AT25" si="117">AS20*3.30578512</f>
        <v>75.717133511993339</v>
      </c>
      <c r="AU20" s="11">
        <v>15052</v>
      </c>
      <c r="AV20" s="12">
        <v>600480</v>
      </c>
      <c r="AW20" s="13">
        <f t="shared" ref="AW20:AW25" si="118">AV20/AU20</f>
        <v>39.89370183364337</v>
      </c>
      <c r="AX20" s="14">
        <f t="shared" ref="AX20:AX25" si="119">AW20*3.30578512</f>
        <v>131.88000590337495</v>
      </c>
      <c r="AY20" s="11">
        <v>3100</v>
      </c>
      <c r="AZ20" s="12">
        <v>123000</v>
      </c>
      <c r="BA20" s="13">
        <f t="shared" ref="BA20:BA25" si="120">AZ20/AY20</f>
        <v>39.677419354838712</v>
      </c>
      <c r="BB20" s="14">
        <f t="shared" ref="BB20:BB25" si="121">BA20*3.30578512</f>
        <v>131.1650225032258</v>
      </c>
      <c r="BC20" s="11">
        <v>17347</v>
      </c>
      <c r="BD20" s="12">
        <v>351914</v>
      </c>
      <c r="BE20" s="13">
        <f t="shared" ref="BE20:BE25" si="122">BD20/BC20</f>
        <v>20.286735458580733</v>
      </c>
      <c r="BF20" s="14">
        <f t="shared" ref="BF20:BF25" si="123">BE20*3.30578512</f>
        <v>67.063588212352556</v>
      </c>
      <c r="BG20" s="11">
        <v>50847</v>
      </c>
      <c r="BH20" s="12">
        <v>4401500</v>
      </c>
      <c r="BI20" s="13">
        <f t="shared" ref="BI20:BI25" si="124">BH20/BG20</f>
        <v>86.563612405844992</v>
      </c>
      <c r="BJ20" s="14">
        <f t="shared" ref="BJ20:BJ25" si="125">BI20*3.30578512</f>
        <v>286.1607018246898</v>
      </c>
      <c r="BK20" s="11">
        <v>21492</v>
      </c>
      <c r="BL20" s="12">
        <v>135500</v>
      </c>
      <c r="BM20" s="13">
        <f t="shared" ref="BM20:BM25" si="126">BL20/BK20</f>
        <v>6.3046715056765308</v>
      </c>
      <c r="BN20" s="14">
        <f t="shared" ref="BN20:BN25" si="127">BM20*3.30578512</f>
        <v>20.841889249953471</v>
      </c>
      <c r="BO20" s="11">
        <v>3456</v>
      </c>
      <c r="BP20" s="12">
        <v>76500</v>
      </c>
      <c r="BQ20" s="13">
        <f t="shared" ref="BQ20:BQ25" si="128">BP20/BO20</f>
        <v>22.135416666666668</v>
      </c>
      <c r="BR20" s="14">
        <f t="shared" ref="BR20:BR25" si="129">BQ20*3.30578512</f>
        <v>73.174931041666667</v>
      </c>
      <c r="BS20" s="11">
        <v>3554</v>
      </c>
      <c r="BT20" s="12">
        <v>142200</v>
      </c>
      <c r="BU20" s="13">
        <f t="shared" ref="BU20:BU25" si="130">BT20/BS20</f>
        <v>40.011254924029259</v>
      </c>
      <c r="BV20" s="14">
        <f t="shared" ref="BV20:BV25" si="131">BU20*3.30578512</f>
        <v>132.26861116038265</v>
      </c>
      <c r="BW20" s="11">
        <v>9031</v>
      </c>
      <c r="BX20" s="12">
        <v>267647</v>
      </c>
      <c r="BY20" s="13">
        <f t="shared" ref="BY20:BY25" si="132">BX20/BW20</f>
        <v>29.636474366072417</v>
      </c>
      <c r="BZ20" s="14">
        <f t="shared" ref="BZ20:BZ25" si="133">BY20*3.30578512</f>
        <v>97.971815968623631</v>
      </c>
      <c r="CA20" s="11">
        <v>3516</v>
      </c>
      <c r="CB20" s="12">
        <v>103000</v>
      </c>
      <c r="CC20" s="13">
        <f t="shared" ref="CC20:CC25" si="134">CB20/CA20</f>
        <v>29.294653014789535</v>
      </c>
      <c r="CD20" s="14">
        <f t="shared" ref="CD20:CD25" si="135">CC20*3.30578512</f>
        <v>96.841828031854376</v>
      </c>
      <c r="CE20" s="11">
        <v>6243</v>
      </c>
      <c r="CF20" s="12">
        <v>164000</v>
      </c>
      <c r="CG20" s="13">
        <f t="shared" ref="CG20:CG25" si="136">CF20/CE20</f>
        <v>26.269421752362646</v>
      </c>
      <c r="CH20" s="14">
        <f t="shared" ref="CH20:CH25" si="137">CG20*3.30578512</f>
        <v>86.841063539964765</v>
      </c>
      <c r="CI20" s="11">
        <v>2193</v>
      </c>
      <c r="CJ20" s="12">
        <v>63500</v>
      </c>
      <c r="CK20" s="13">
        <f t="shared" ref="CK20:CK25" si="138">CJ20/CI20</f>
        <v>28.95576835385317</v>
      </c>
      <c r="CL20" s="14">
        <f t="shared" ref="CL20:CL25" si="139">CK20*3.30578512</f>
        <v>95.721548162334699</v>
      </c>
      <c r="CM20" s="11">
        <v>1686</v>
      </c>
      <c r="CN20" s="12">
        <v>15000</v>
      </c>
      <c r="CO20" s="13">
        <f t="shared" ref="CO20:CO25" si="140">CN20/CM20</f>
        <v>8.8967971530249113</v>
      </c>
      <c r="CP20" s="14">
        <f t="shared" ref="CP20:CP25" si="141">CO20*3.30578512</f>
        <v>29.410899644128115</v>
      </c>
      <c r="CQ20" s="11">
        <v>3229</v>
      </c>
      <c r="CR20" s="12">
        <v>106500</v>
      </c>
      <c r="CS20" s="13">
        <f t="shared" ref="CS20:CS25" si="142">CR20/CQ20</f>
        <v>32.982347475998765</v>
      </c>
      <c r="CT20" s="14">
        <f t="shared" ref="CT20:CT25" si="143">CS20*3.30578512</f>
        <v>109.03255350882627</v>
      </c>
      <c r="CU20" s="11">
        <v>5603</v>
      </c>
      <c r="CV20" s="12">
        <v>336700</v>
      </c>
      <c r="CW20" s="13">
        <f t="shared" ref="CW20:CW25" si="144">CV20/CU20</f>
        <v>60.092807424593964</v>
      </c>
      <c r="CX20" s="14">
        <f t="shared" ref="CX20:CX25" si="145">CW20*3.30578512</f>
        <v>198.65390860324825</v>
      </c>
      <c r="CY20" s="11">
        <v>1251</v>
      </c>
      <c r="CZ20" s="12">
        <v>80000</v>
      </c>
      <c r="DA20" s="13">
        <f t="shared" ref="DA20:DA25" si="146">CZ20/CY20</f>
        <v>63.948840927258196</v>
      </c>
      <c r="DB20" s="14">
        <f t="shared" ref="DB20:DB25" si="147">DA20*3.30578512</f>
        <v>211.40112677857715</v>
      </c>
      <c r="DC20" s="11">
        <v>2524</v>
      </c>
      <c r="DD20" s="12">
        <v>84900</v>
      </c>
      <c r="DE20" s="13">
        <f t="shared" ref="DE20:DE25" si="148">DD20/DC20</f>
        <v>33.637083993660859</v>
      </c>
      <c r="DF20" s="14">
        <f t="shared" ref="DF20:DF25" si="149">DE20*3.30578512</f>
        <v>111.19697174643424</v>
      </c>
      <c r="DG20" s="11">
        <v>0</v>
      </c>
      <c r="DH20" s="12">
        <v>0</v>
      </c>
      <c r="DI20" s="13" t="e">
        <f t="shared" ref="DI20:DI25" si="150">DH20/DG20</f>
        <v>#DIV/0!</v>
      </c>
      <c r="DJ20" s="14" t="e">
        <f t="shared" ref="DJ20:DJ25" si="151">DI20*3.30578512</f>
        <v>#DIV/0!</v>
      </c>
      <c r="DK20" s="11">
        <v>109631</v>
      </c>
      <c r="DL20" s="12">
        <v>5518000</v>
      </c>
      <c r="DM20" s="13">
        <f t="shared" ref="DM20:DM25" si="152">DL20/DK20</f>
        <v>50.332478952121207</v>
      </c>
      <c r="DN20" s="14">
        <f t="shared" ref="DN20:DN25" si="153">DM20*3.30578512</f>
        <v>166.38835997263547</v>
      </c>
      <c r="DO20" s="11">
        <v>9397</v>
      </c>
      <c r="DP20" s="12">
        <v>378000</v>
      </c>
      <c r="DQ20" s="13">
        <f t="shared" ref="DQ20:DQ25" si="154">DP20/DO20</f>
        <v>40.225603916143449</v>
      </c>
      <c r="DR20" s="14">
        <f t="shared" ref="DR20:DR25" si="155">DQ20*3.30578512</f>
        <v>132.97720286900073</v>
      </c>
      <c r="DS20" s="11">
        <v>299</v>
      </c>
      <c r="DT20" s="12">
        <v>12000</v>
      </c>
      <c r="DU20" s="13">
        <f t="shared" ref="DU20:DU25" si="156">DT20/DS20</f>
        <v>40.133779264214049</v>
      </c>
      <c r="DV20" s="14">
        <f t="shared" ref="DV20:DV25" si="157">DU20*3.30578512</f>
        <v>132.67365030100333</v>
      </c>
      <c r="DW20" s="11">
        <v>3365</v>
      </c>
      <c r="DX20" s="12">
        <v>178500</v>
      </c>
      <c r="DY20" s="13">
        <f t="shared" ref="DY20:DY25" si="158">DX20/DW20</f>
        <v>53.046062407132247</v>
      </c>
      <c r="DZ20" s="14">
        <f t="shared" ref="DZ20:DZ25" si="159">DY20*3.30578512</f>
        <v>175.35888378008917</v>
      </c>
      <c r="EA20" s="11">
        <v>25997</v>
      </c>
      <c r="EB20" s="12">
        <v>684500</v>
      </c>
      <c r="EC20" s="13">
        <f t="shared" ref="EC20:EC25" si="160">EB20/EA20</f>
        <v>26.329961149363388</v>
      </c>
      <c r="ED20" s="14">
        <f t="shared" ref="ED20:ED25" si="161">EC20*3.30578512</f>
        <v>87.041193777743587</v>
      </c>
      <c r="EE20" s="11">
        <v>24936</v>
      </c>
      <c r="EF20" s="12">
        <v>803601</v>
      </c>
      <c r="EG20" s="13">
        <f t="shared" ref="EG20:EG25" si="162">EF20/EE20</f>
        <v>32.226539942252167</v>
      </c>
      <c r="EH20" s="14">
        <f t="shared" ref="EH20:EH25" si="163">EG20*3.30578512</f>
        <v>106.53401621018287</v>
      </c>
      <c r="EI20" s="11">
        <v>6754</v>
      </c>
      <c r="EJ20" s="12">
        <v>476000</v>
      </c>
      <c r="EK20" s="13">
        <f t="shared" ref="EK20:EK25" si="164">EJ20/EI20</f>
        <v>70.476754515842458</v>
      </c>
      <c r="EL20" s="14">
        <f t="shared" ref="EL20:EL25" si="165">EK20*3.30578512</f>
        <v>232.9810063843648</v>
      </c>
      <c r="EM20" s="11">
        <v>1806</v>
      </c>
      <c r="EN20" s="12">
        <v>7270</v>
      </c>
      <c r="EO20" s="13">
        <f t="shared" ref="EO20:EO25" si="166">EN20/EM20</f>
        <v>4.0254706533776305</v>
      </c>
      <c r="EP20" s="14">
        <f t="shared" ref="EP20:EP25" si="167">EO20*3.30578512</f>
        <v>13.307340986932449</v>
      </c>
      <c r="EQ20" s="11">
        <v>3344</v>
      </c>
      <c r="ER20" s="12">
        <v>151275</v>
      </c>
      <c r="ES20" s="13">
        <f t="shared" ref="ES20:ES25" si="168">ER20/EQ20</f>
        <v>45.237739234449762</v>
      </c>
      <c r="ET20" s="14">
        <f t="shared" ref="ET20:ET25" si="169">ES20*3.30578512</f>
        <v>149.54624522368422</v>
      </c>
      <c r="EU20" s="11">
        <v>31865</v>
      </c>
      <c r="EV20" s="12">
        <v>748199.43906</v>
      </c>
      <c r="EW20" s="13">
        <f t="shared" ref="EW20:EW25" si="170">EV20/EU20</f>
        <v>23.480289943825515</v>
      </c>
      <c r="EX20" s="14">
        <f t="shared" ref="EX20:EX25" si="171">EW20*3.30578512</f>
        <v>77.620793109584014</v>
      </c>
      <c r="EY20" s="11">
        <v>7857</v>
      </c>
      <c r="EZ20" s="12">
        <v>301931.62703999999</v>
      </c>
      <c r="FA20" s="13">
        <f t="shared" ref="FA20:FA25" si="172">EZ20/EY20</f>
        <v>38.428360320733105</v>
      </c>
      <c r="FB20" s="14">
        <f t="shared" ref="FB20:FB25" si="173">FA20*3.30578512</f>
        <v>127.03590173427793</v>
      </c>
      <c r="FC20" s="11">
        <v>85817</v>
      </c>
      <c r="FD20" s="12">
        <v>5595189.6113600004</v>
      </c>
      <c r="FE20" s="13">
        <f t="shared" ref="FE20:FE25" si="174">FD20/FC20</f>
        <v>65.199081899390563</v>
      </c>
      <c r="FF20" s="14">
        <f t="shared" ref="FF20:FF25" si="175">FE20*3.30578512</f>
        <v>215.53415478066665</v>
      </c>
      <c r="FG20" s="11">
        <v>87123</v>
      </c>
      <c r="FH20" s="12">
        <v>5990048.2732100002</v>
      </c>
      <c r="FI20" s="13">
        <f t="shared" ref="FI20:FI25" si="176">FH20/FG20</f>
        <v>68.753925751064585</v>
      </c>
      <c r="FJ20" s="14">
        <f t="shared" ref="FJ20:FJ25" si="177">FI20*3.30578512</f>
        <v>227.28570468945412</v>
      </c>
      <c r="FK20" s="11">
        <v>44228</v>
      </c>
      <c r="FL20" s="12">
        <v>1533767.87925</v>
      </c>
      <c r="FM20" s="13">
        <f t="shared" ref="FM20:FM25" si="178">FL20/FK20</f>
        <v>34.678662368861353</v>
      </c>
      <c r="FN20" s="14">
        <f t="shared" ref="FN20:FN25" si="179">FM20*3.30578512</f>
        <v>114.64020604048581</v>
      </c>
      <c r="FO20" s="11">
        <v>46931</v>
      </c>
      <c r="FP20" s="12">
        <v>1738413.4597499999</v>
      </c>
      <c r="FQ20" s="13">
        <f t="shared" ref="FQ20:FQ25" si="180">FP20/FO20</f>
        <v>37.041901083505572</v>
      </c>
      <c r="FR20" s="14">
        <f t="shared" ref="FR20:FR25" si="181">FQ20*3.30578512</f>
        <v>122.45256541836459</v>
      </c>
      <c r="FS20" s="11">
        <v>24433</v>
      </c>
      <c r="FT20" s="12">
        <v>1049753.25973</v>
      </c>
      <c r="FU20" s="13">
        <f t="shared" ref="FU20:FU25" si="182">FT20/FS20</f>
        <v>42.964566763393776</v>
      </c>
      <c r="FV20" s="14">
        <f t="shared" ref="FV20:FV25" si="183">FU20*3.30578512</f>
        <v>142.03162549367372</v>
      </c>
      <c r="FW20" s="11">
        <v>20293</v>
      </c>
      <c r="FX20" s="12">
        <v>796481.47250999999</v>
      </c>
      <c r="FY20" s="13">
        <f t="shared" ref="FY20:FY25" si="184">FX20/FW20</f>
        <v>39.249074681417234</v>
      </c>
      <c r="FZ20" s="14">
        <f t="shared" ref="FZ20:FZ25" si="185">FY20*3.30578512</f>
        <v>129.74900705559781</v>
      </c>
      <c r="GA20" s="11">
        <v>41087</v>
      </c>
      <c r="GB20" s="31">
        <v>2476355.7267100001</v>
      </c>
      <c r="GC20" s="32">
        <f t="shared" si="90"/>
        <v>60.271027982330182</v>
      </c>
      <c r="GD20" s="14">
        <f t="shared" si="91"/>
        <v>199.24306747109074</v>
      </c>
      <c r="GE20" s="11">
        <v>113478</v>
      </c>
      <c r="GF20" s="31">
        <v>3633237.9422499998</v>
      </c>
      <c r="GG20" s="32">
        <f t="shared" si="92"/>
        <v>32.01711294039373</v>
      </c>
      <c r="GH20" s="14">
        <f t="shared" si="93"/>
        <v>105.84169554371303</v>
      </c>
      <c r="GI20" s="11">
        <v>81814</v>
      </c>
      <c r="GJ20" s="31">
        <v>4079044</v>
      </c>
      <c r="GK20" s="32">
        <f t="shared" si="94"/>
        <v>49.857530496003129</v>
      </c>
      <c r="GL20" s="14">
        <f t="shared" si="95"/>
        <v>164.81828243363336</v>
      </c>
    </row>
    <row r="21" spans="2:194">
      <c r="B21" s="2" t="s">
        <v>2</v>
      </c>
      <c r="C21" s="11">
        <v>62005</v>
      </c>
      <c r="D21" s="12">
        <v>1252055</v>
      </c>
      <c r="E21" s="13">
        <f t="shared" si="96"/>
        <v>20.192807031690993</v>
      </c>
      <c r="F21" s="14">
        <f t="shared" si="97"/>
        <v>66.753081016395456</v>
      </c>
      <c r="G21" s="11">
        <v>2209</v>
      </c>
      <c r="H21" s="12">
        <v>94000</v>
      </c>
      <c r="I21" s="13">
        <f t="shared" si="98"/>
        <v>42.553191489361701</v>
      </c>
      <c r="J21" s="14">
        <f t="shared" si="99"/>
        <v>140.67170723404254</v>
      </c>
      <c r="K21" s="11">
        <v>19431</v>
      </c>
      <c r="L21" s="12">
        <v>596950</v>
      </c>
      <c r="M21" s="13">
        <f t="shared" si="100"/>
        <v>30.721527456126807</v>
      </c>
      <c r="N21" s="14">
        <f t="shared" si="101"/>
        <v>101.55876832813546</v>
      </c>
      <c r="O21" s="11">
        <v>5584</v>
      </c>
      <c r="P21" s="12">
        <v>113500</v>
      </c>
      <c r="Q21" s="13">
        <f t="shared" si="102"/>
        <v>20.325931232091691</v>
      </c>
      <c r="R21" s="14">
        <f t="shared" si="103"/>
        <v>67.193161017191969</v>
      </c>
      <c r="S21" s="11">
        <v>5090</v>
      </c>
      <c r="T21" s="12">
        <v>89000</v>
      </c>
      <c r="U21" s="13">
        <f t="shared" si="104"/>
        <v>17.485265225933201</v>
      </c>
      <c r="V21" s="14">
        <f t="shared" si="105"/>
        <v>57.802529603143412</v>
      </c>
      <c r="W21" s="11">
        <v>3053</v>
      </c>
      <c r="X21" s="12">
        <v>75000</v>
      </c>
      <c r="Y21" s="13">
        <f t="shared" si="106"/>
        <v>24.566000655093351</v>
      </c>
      <c r="Z21" s="14">
        <f t="shared" si="107"/>
        <v>81.209919423517846</v>
      </c>
      <c r="AA21" s="11">
        <v>9472</v>
      </c>
      <c r="AB21" s="12">
        <v>234166</v>
      </c>
      <c r="AC21" s="13">
        <f t="shared" si="108"/>
        <v>24.72191722972973</v>
      </c>
      <c r="AD21" s="14">
        <f t="shared" si="109"/>
        <v>81.72534611591216</v>
      </c>
      <c r="AE21" s="11">
        <v>2657</v>
      </c>
      <c r="AF21" s="12">
        <v>57086</v>
      </c>
      <c r="AG21" s="13">
        <f t="shared" si="110"/>
        <v>21.485133609333836</v>
      </c>
      <c r="AH21" s="14">
        <f t="shared" si="111"/>
        <v>71.02523498694768</v>
      </c>
      <c r="AI21" s="11">
        <v>3425</v>
      </c>
      <c r="AJ21" s="12">
        <v>83000</v>
      </c>
      <c r="AK21" s="13">
        <f t="shared" si="112"/>
        <v>24.233576642335766</v>
      </c>
      <c r="AL21" s="14">
        <f t="shared" si="113"/>
        <v>80.110997068613131</v>
      </c>
      <c r="AM21" s="11">
        <v>10669</v>
      </c>
      <c r="AN21" s="12">
        <v>334890</v>
      </c>
      <c r="AO21" s="13">
        <f t="shared" si="114"/>
        <v>31.389071140687975</v>
      </c>
      <c r="AP21" s="14">
        <f t="shared" si="115"/>
        <v>103.76552430750773</v>
      </c>
      <c r="AQ21" s="11">
        <v>1121</v>
      </c>
      <c r="AR21" s="12">
        <v>41217</v>
      </c>
      <c r="AS21" s="13">
        <f t="shared" si="116"/>
        <v>36.768064228367528</v>
      </c>
      <c r="AT21" s="14">
        <f t="shared" si="117"/>
        <v>121.54731961734166</v>
      </c>
      <c r="AU21" s="11">
        <v>14942</v>
      </c>
      <c r="AV21" s="12">
        <v>307912</v>
      </c>
      <c r="AW21" s="13">
        <f t="shared" si="118"/>
        <v>20.607147637531789</v>
      </c>
      <c r="AX21" s="14">
        <f t="shared" si="119"/>
        <v>68.122802025795735</v>
      </c>
      <c r="AY21" s="11">
        <v>11731</v>
      </c>
      <c r="AZ21" s="12">
        <v>180500</v>
      </c>
      <c r="BA21" s="13">
        <f t="shared" si="120"/>
        <v>15.386582559031625</v>
      </c>
      <c r="BB21" s="14">
        <f t="shared" si="121"/>
        <v>50.86473567129827</v>
      </c>
      <c r="BC21" s="11">
        <v>6500</v>
      </c>
      <c r="BD21" s="12">
        <v>182692</v>
      </c>
      <c r="BE21" s="13">
        <f t="shared" si="122"/>
        <v>28.106461538461538</v>
      </c>
      <c r="BF21" s="14">
        <f t="shared" si="123"/>
        <v>92.913922329698451</v>
      </c>
      <c r="BG21" s="11">
        <v>4156</v>
      </c>
      <c r="BH21" s="12">
        <v>123740</v>
      </c>
      <c r="BI21" s="13">
        <f t="shared" si="124"/>
        <v>29.773820981713186</v>
      </c>
      <c r="BJ21" s="14">
        <f t="shared" si="125"/>
        <v>98.425854366891244</v>
      </c>
      <c r="BK21" s="11">
        <v>2408</v>
      </c>
      <c r="BL21" s="12">
        <v>95000</v>
      </c>
      <c r="BM21" s="13">
        <f t="shared" si="126"/>
        <v>39.451827242524914</v>
      </c>
      <c r="BN21" s="14">
        <f t="shared" si="127"/>
        <v>130.41926345514949</v>
      </c>
      <c r="BO21" s="11">
        <v>6365</v>
      </c>
      <c r="BP21" s="12">
        <v>154430</v>
      </c>
      <c r="BQ21" s="13">
        <f t="shared" si="128"/>
        <v>24.262372348782403</v>
      </c>
      <c r="BR21" s="14">
        <f t="shared" si="129"/>
        <v>80.206189486504314</v>
      </c>
      <c r="BS21" s="11">
        <v>2986</v>
      </c>
      <c r="BT21" s="12">
        <v>74000</v>
      </c>
      <c r="BU21" s="13">
        <f t="shared" si="130"/>
        <v>24.782317481580709</v>
      </c>
      <c r="BV21" s="14">
        <f t="shared" si="131"/>
        <v>81.925016369725384</v>
      </c>
      <c r="BW21" s="11">
        <v>12638</v>
      </c>
      <c r="BX21" s="12">
        <v>353021</v>
      </c>
      <c r="BY21" s="13">
        <f t="shared" si="132"/>
        <v>27.933296407659441</v>
      </c>
      <c r="BZ21" s="14">
        <f t="shared" si="133"/>
        <v>92.341475616990024</v>
      </c>
      <c r="CA21" s="11">
        <v>960</v>
      </c>
      <c r="CB21" s="12">
        <v>21000</v>
      </c>
      <c r="CC21" s="13">
        <f t="shared" si="134"/>
        <v>21.875</v>
      </c>
      <c r="CD21" s="14">
        <f t="shared" si="135"/>
        <v>72.314049499999996</v>
      </c>
      <c r="CE21" s="11">
        <v>0</v>
      </c>
      <c r="CF21" s="12">
        <v>0</v>
      </c>
      <c r="CG21" s="13" t="e">
        <f t="shared" si="136"/>
        <v>#DIV/0!</v>
      </c>
      <c r="CH21" s="14" t="e">
        <f t="shared" si="137"/>
        <v>#DIV/0!</v>
      </c>
      <c r="CI21" s="11">
        <v>0</v>
      </c>
      <c r="CJ21" s="12">
        <v>0</v>
      </c>
      <c r="CK21" s="13" t="e">
        <f t="shared" si="138"/>
        <v>#DIV/0!</v>
      </c>
      <c r="CL21" s="14" t="e">
        <f t="shared" si="139"/>
        <v>#DIV/0!</v>
      </c>
      <c r="CM21" s="11">
        <v>17656</v>
      </c>
      <c r="CN21" s="12">
        <v>473265</v>
      </c>
      <c r="CO21" s="13">
        <f t="shared" si="140"/>
        <v>26.804768917082011</v>
      </c>
      <c r="CP21" s="14">
        <f t="shared" si="141"/>
        <v>88.610806231128223</v>
      </c>
      <c r="CQ21" s="11">
        <v>2100</v>
      </c>
      <c r="CR21" s="12">
        <v>59690</v>
      </c>
      <c r="CS21" s="13">
        <f t="shared" si="142"/>
        <v>28.423809523809524</v>
      </c>
      <c r="CT21" s="14">
        <f t="shared" si="143"/>
        <v>93.963006577523814</v>
      </c>
      <c r="CU21" s="11">
        <v>0</v>
      </c>
      <c r="CV21" s="12">
        <v>0</v>
      </c>
      <c r="CW21" s="13" t="e">
        <f t="shared" si="144"/>
        <v>#DIV/0!</v>
      </c>
      <c r="CX21" s="14" t="e">
        <f t="shared" si="145"/>
        <v>#DIV/0!</v>
      </c>
      <c r="CY21" s="11">
        <v>3464</v>
      </c>
      <c r="CZ21" s="12">
        <v>241550</v>
      </c>
      <c r="DA21" s="13">
        <f t="shared" si="146"/>
        <v>69.731524249422634</v>
      </c>
      <c r="DB21" s="14">
        <f t="shared" si="147"/>
        <v>230.5174352586605</v>
      </c>
      <c r="DC21" s="11">
        <v>4299</v>
      </c>
      <c r="DD21" s="12">
        <v>135000</v>
      </c>
      <c r="DE21" s="13">
        <f t="shared" si="148"/>
        <v>31.402651779483602</v>
      </c>
      <c r="DF21" s="14">
        <f t="shared" si="149"/>
        <v>103.81041898115841</v>
      </c>
      <c r="DG21" s="11">
        <v>389</v>
      </c>
      <c r="DH21" s="12">
        <v>5000</v>
      </c>
      <c r="DI21" s="13">
        <f t="shared" si="150"/>
        <v>12.853470437017995</v>
      </c>
      <c r="DJ21" s="14">
        <f t="shared" si="151"/>
        <v>42.490811311053982</v>
      </c>
      <c r="DK21" s="11">
        <v>0</v>
      </c>
      <c r="DL21" s="12">
        <v>0</v>
      </c>
      <c r="DM21" s="13" t="e">
        <f t="shared" si="152"/>
        <v>#DIV/0!</v>
      </c>
      <c r="DN21" s="14" t="e">
        <f t="shared" si="153"/>
        <v>#DIV/0!</v>
      </c>
      <c r="DO21" s="11">
        <v>12724</v>
      </c>
      <c r="DP21" s="12">
        <v>578400</v>
      </c>
      <c r="DQ21" s="13">
        <f t="shared" si="154"/>
        <v>45.457403332285445</v>
      </c>
      <c r="DR21" s="14">
        <f t="shared" si="155"/>
        <v>150.27240752970764</v>
      </c>
      <c r="DS21" s="11">
        <v>26759</v>
      </c>
      <c r="DT21" s="12">
        <v>621600</v>
      </c>
      <c r="DU21" s="13">
        <f t="shared" si="156"/>
        <v>23.229567622108448</v>
      </c>
      <c r="DV21" s="14">
        <f t="shared" si="157"/>
        <v>76.791958989199884</v>
      </c>
      <c r="DW21" s="11">
        <v>371</v>
      </c>
      <c r="DX21" s="12">
        <v>8800</v>
      </c>
      <c r="DY21" s="13">
        <f t="shared" si="158"/>
        <v>23.71967654986523</v>
      </c>
      <c r="DZ21" s="14">
        <f t="shared" si="159"/>
        <v>78.412153789757411</v>
      </c>
      <c r="EA21" s="11">
        <v>44510</v>
      </c>
      <c r="EB21" s="12">
        <v>1725000</v>
      </c>
      <c r="EC21" s="13">
        <f t="shared" si="160"/>
        <v>38.755335879577622</v>
      </c>
      <c r="ED21" s="14">
        <f t="shared" si="161"/>
        <v>128.11681267130982</v>
      </c>
      <c r="EE21" s="11">
        <v>2277</v>
      </c>
      <c r="EF21" s="12">
        <v>56630</v>
      </c>
      <c r="EG21" s="13">
        <f t="shared" si="162"/>
        <v>24.870443566095741</v>
      </c>
      <c r="EH21" s="14">
        <f t="shared" si="163"/>
        <v>82.216342268599035</v>
      </c>
      <c r="EI21" s="11">
        <v>30888</v>
      </c>
      <c r="EJ21" s="12">
        <v>1613500</v>
      </c>
      <c r="EK21" s="13">
        <f t="shared" si="164"/>
        <v>52.237114737114737</v>
      </c>
      <c r="EL21" s="14">
        <f t="shared" si="165"/>
        <v>172.68467660968662</v>
      </c>
      <c r="EM21" s="11">
        <v>79</v>
      </c>
      <c r="EN21" s="12">
        <v>1200</v>
      </c>
      <c r="EO21" s="13">
        <f t="shared" si="166"/>
        <v>15.189873417721518</v>
      </c>
      <c r="EP21" s="14">
        <f t="shared" si="167"/>
        <v>50.214457518987338</v>
      </c>
      <c r="EQ21" s="11">
        <v>21957</v>
      </c>
      <c r="ER21" s="12">
        <v>578500</v>
      </c>
      <c r="ES21" s="13">
        <f t="shared" si="168"/>
        <v>26.34695085849615</v>
      </c>
      <c r="ET21" s="14">
        <f t="shared" si="169"/>
        <v>87.097358105387798</v>
      </c>
      <c r="EU21" s="11">
        <v>19617</v>
      </c>
      <c r="EV21" s="12">
        <v>412524.61605999997</v>
      </c>
      <c r="EW21" s="13">
        <f t="shared" si="170"/>
        <v>21.028934906458684</v>
      </c>
      <c r="EX21" s="14">
        <f t="shared" si="171"/>
        <v>69.517140103219702</v>
      </c>
      <c r="EY21" s="11">
        <v>2841</v>
      </c>
      <c r="EZ21" s="12">
        <v>56342.69614</v>
      </c>
      <c r="FA21" s="13">
        <f t="shared" si="172"/>
        <v>19.831994417458642</v>
      </c>
      <c r="FB21" s="14">
        <f t="shared" si="173"/>
        <v>65.560312045157843</v>
      </c>
      <c r="FC21" s="11">
        <v>22090</v>
      </c>
      <c r="FD21" s="12">
        <v>1314826.58788</v>
      </c>
      <c r="FE21" s="13">
        <f t="shared" si="174"/>
        <v>59.521348478044366</v>
      </c>
      <c r="FF21" s="14">
        <f t="shared" si="175"/>
        <v>196.7647881210537</v>
      </c>
      <c r="FG21" s="11">
        <v>26741</v>
      </c>
      <c r="FH21" s="12">
        <v>675396.94310999999</v>
      </c>
      <c r="FI21" s="13">
        <f t="shared" si="176"/>
        <v>25.256981530608428</v>
      </c>
      <c r="FJ21" s="14">
        <f t="shared" si="177"/>
        <v>83.49415372000017</v>
      </c>
      <c r="FK21" s="11">
        <v>141201</v>
      </c>
      <c r="FL21" s="12">
        <v>7526709.2654400002</v>
      </c>
      <c r="FM21" s="13">
        <f t="shared" si="178"/>
        <v>53.304928898803837</v>
      </c>
      <c r="FN21" s="14">
        <f t="shared" si="179"/>
        <v>176.21464077632371</v>
      </c>
      <c r="FO21" s="11">
        <v>72046</v>
      </c>
      <c r="FP21" s="12">
        <v>4691279.7204200001</v>
      </c>
      <c r="FQ21" s="13">
        <f t="shared" si="180"/>
        <v>65.115061494323072</v>
      </c>
      <c r="FR21" s="14">
        <f t="shared" si="181"/>
        <v>215.25640137581817</v>
      </c>
      <c r="FS21" s="11">
        <v>52398</v>
      </c>
      <c r="FT21" s="12">
        <v>1902624.9151600001</v>
      </c>
      <c r="FU21" s="13">
        <f t="shared" si="182"/>
        <v>36.311021702355056</v>
      </c>
      <c r="FV21" s="14">
        <f t="shared" si="183"/>
        <v>120.03643523564241</v>
      </c>
      <c r="FW21" s="11">
        <v>50780</v>
      </c>
      <c r="FX21" s="12">
        <v>2542173.0960200001</v>
      </c>
      <c r="FY21" s="13">
        <f t="shared" si="184"/>
        <v>50.062487121307605</v>
      </c>
      <c r="FZ21" s="14">
        <f t="shared" si="185"/>
        <v>165.49582499581032</v>
      </c>
      <c r="GA21" s="11">
        <v>35549</v>
      </c>
      <c r="GB21" s="31">
        <v>1579652.9805000001</v>
      </c>
      <c r="GC21" s="32">
        <f t="shared" si="90"/>
        <v>44.435932951700472</v>
      </c>
      <c r="GD21" s="14">
        <f t="shared" si="91"/>
        <v>146.8956459450491</v>
      </c>
      <c r="GE21" s="11">
        <v>14615</v>
      </c>
      <c r="GF21" s="31">
        <v>650728.76853</v>
      </c>
      <c r="GG21" s="32">
        <f t="shared" si="92"/>
        <v>44.524719023605883</v>
      </c>
      <c r="GH21" s="14">
        <f t="shared" si="93"/>
        <v>147.18915362041724</v>
      </c>
      <c r="GI21" s="11">
        <v>11527</v>
      </c>
      <c r="GJ21" s="31">
        <v>365412</v>
      </c>
      <c r="GK21" s="32">
        <f t="shared" si="94"/>
        <v>31.70052919233105</v>
      </c>
      <c r="GL21" s="14">
        <f t="shared" si="95"/>
        <v>104.79513770013359</v>
      </c>
    </row>
    <row r="22" spans="2:194">
      <c r="B22" s="2" t="s">
        <v>3</v>
      </c>
      <c r="C22" s="11">
        <v>153240</v>
      </c>
      <c r="D22" s="12">
        <v>1689704</v>
      </c>
      <c r="E22" s="13">
        <f t="shared" si="96"/>
        <v>11.026520490733491</v>
      </c>
      <c r="F22" s="14">
        <f t="shared" si="97"/>
        <v>36.451307363641874</v>
      </c>
      <c r="G22" s="11">
        <v>537</v>
      </c>
      <c r="H22" s="12">
        <v>11100</v>
      </c>
      <c r="I22" s="13">
        <f t="shared" si="98"/>
        <v>20.670391061452513</v>
      </c>
      <c r="J22" s="14">
        <f t="shared" si="99"/>
        <v>68.331871195530724</v>
      </c>
      <c r="K22" s="11">
        <v>15403</v>
      </c>
      <c r="L22" s="12">
        <v>180000</v>
      </c>
      <c r="M22" s="13">
        <f t="shared" si="100"/>
        <v>11.686035187950399</v>
      </c>
      <c r="N22" s="14">
        <f t="shared" si="101"/>
        <v>38.631521236122829</v>
      </c>
      <c r="O22" s="11">
        <v>1587</v>
      </c>
      <c r="P22" s="12">
        <v>13250</v>
      </c>
      <c r="Q22" s="13">
        <f t="shared" si="102"/>
        <v>8.3490863264020163</v>
      </c>
      <c r="R22" s="14">
        <f t="shared" si="103"/>
        <v>27.600285343415248</v>
      </c>
      <c r="S22" s="11">
        <v>13666</v>
      </c>
      <c r="T22" s="12">
        <v>225900</v>
      </c>
      <c r="U22" s="13">
        <f t="shared" si="104"/>
        <v>16.530074637787209</v>
      </c>
      <c r="V22" s="14">
        <f t="shared" si="105"/>
        <v>54.644874770086346</v>
      </c>
      <c r="W22" s="11">
        <v>56375</v>
      </c>
      <c r="X22" s="12">
        <v>629069</v>
      </c>
      <c r="Y22" s="13">
        <f t="shared" si="106"/>
        <v>11.158651884700665</v>
      </c>
      <c r="Z22" s="14">
        <f t="shared" si="107"/>
        <v>36.888105359703417</v>
      </c>
      <c r="AA22" s="11">
        <v>6809</v>
      </c>
      <c r="AB22" s="12">
        <v>120730</v>
      </c>
      <c r="AC22" s="13">
        <f t="shared" si="108"/>
        <v>17.730944338375679</v>
      </c>
      <c r="AD22" s="14">
        <f t="shared" si="109"/>
        <v>58.614691957350558</v>
      </c>
      <c r="AE22" s="11">
        <v>1429</v>
      </c>
      <c r="AF22" s="12">
        <v>22150</v>
      </c>
      <c r="AG22" s="13">
        <f t="shared" si="110"/>
        <v>15.500349895031491</v>
      </c>
      <c r="AH22" s="14">
        <f t="shared" si="111"/>
        <v>51.240826037788665</v>
      </c>
      <c r="AI22" s="11">
        <v>2131</v>
      </c>
      <c r="AJ22" s="12">
        <v>29830</v>
      </c>
      <c r="AK22" s="13">
        <f t="shared" si="112"/>
        <v>13.998122946973252</v>
      </c>
      <c r="AL22" s="14">
        <f t="shared" si="113"/>
        <v>46.274786546034726</v>
      </c>
      <c r="AM22" s="11">
        <v>89088</v>
      </c>
      <c r="AN22" s="12">
        <v>1097389</v>
      </c>
      <c r="AO22" s="13">
        <f t="shared" si="114"/>
        <v>12.318033854166666</v>
      </c>
      <c r="AP22" s="14">
        <f t="shared" si="115"/>
        <v>40.720773022760412</v>
      </c>
      <c r="AQ22" s="11">
        <v>808</v>
      </c>
      <c r="AR22" s="12">
        <v>12000</v>
      </c>
      <c r="AS22" s="13">
        <f t="shared" si="116"/>
        <v>14.851485148514852</v>
      </c>
      <c r="AT22" s="14">
        <f t="shared" si="117"/>
        <v>49.09581861386139</v>
      </c>
      <c r="AU22" s="11">
        <v>3650</v>
      </c>
      <c r="AV22" s="12">
        <v>75000</v>
      </c>
      <c r="AW22" s="13">
        <f t="shared" si="118"/>
        <v>20.547945205479451</v>
      </c>
      <c r="AX22" s="14">
        <f t="shared" si="119"/>
        <v>67.927091506849308</v>
      </c>
      <c r="AY22" s="11">
        <v>993</v>
      </c>
      <c r="AZ22" s="12">
        <v>16700</v>
      </c>
      <c r="BA22" s="13">
        <f t="shared" si="120"/>
        <v>16.817724068479354</v>
      </c>
      <c r="BB22" s="14">
        <f t="shared" si="121"/>
        <v>55.595781977844908</v>
      </c>
      <c r="BC22" s="11">
        <v>69088</v>
      </c>
      <c r="BD22" s="12">
        <v>1114520</v>
      </c>
      <c r="BE22" s="13">
        <f t="shared" si="122"/>
        <v>16.131889763779526</v>
      </c>
      <c r="BF22" s="14">
        <f t="shared" si="123"/>
        <v>53.328561138582671</v>
      </c>
      <c r="BG22" s="11">
        <v>214</v>
      </c>
      <c r="BH22" s="12">
        <v>4500</v>
      </c>
      <c r="BI22" s="13">
        <f t="shared" si="124"/>
        <v>21.028037383177569</v>
      </c>
      <c r="BJ22" s="14">
        <f t="shared" si="125"/>
        <v>69.514173084112144</v>
      </c>
      <c r="BK22" s="11">
        <v>18689</v>
      </c>
      <c r="BL22" s="12">
        <v>250000</v>
      </c>
      <c r="BM22" s="13">
        <f t="shared" si="126"/>
        <v>13.376852694098133</v>
      </c>
      <c r="BN22" s="14">
        <f t="shared" si="127"/>
        <v>44.221000588581518</v>
      </c>
      <c r="BO22" s="11">
        <v>15037</v>
      </c>
      <c r="BP22" s="12">
        <v>186920</v>
      </c>
      <c r="BQ22" s="13">
        <f t="shared" si="128"/>
        <v>12.430671011504954</v>
      </c>
      <c r="BR22" s="14">
        <f t="shared" si="129"/>
        <v>41.093127261448423</v>
      </c>
      <c r="BS22" s="11">
        <v>203</v>
      </c>
      <c r="BT22" s="12">
        <v>6000</v>
      </c>
      <c r="BU22" s="13">
        <f t="shared" si="130"/>
        <v>29.55665024630542</v>
      </c>
      <c r="BV22" s="14">
        <f t="shared" si="131"/>
        <v>97.707934581280796</v>
      </c>
      <c r="BW22" s="11">
        <v>2393</v>
      </c>
      <c r="BX22" s="12">
        <v>69081</v>
      </c>
      <c r="BY22" s="13">
        <f t="shared" si="132"/>
        <v>28.867948182198077</v>
      </c>
      <c r="BZ22" s="14">
        <f t="shared" si="133"/>
        <v>95.431233545641447</v>
      </c>
      <c r="CA22" s="11">
        <v>20604</v>
      </c>
      <c r="CB22" s="12">
        <v>287300</v>
      </c>
      <c r="CC22" s="13">
        <f t="shared" si="134"/>
        <v>13.943894389438944</v>
      </c>
      <c r="CD22" s="14">
        <f t="shared" si="135"/>
        <v>46.095518587458741</v>
      </c>
      <c r="CE22" s="11">
        <v>0</v>
      </c>
      <c r="CF22" s="12">
        <v>0</v>
      </c>
      <c r="CG22" s="13" t="e">
        <f t="shared" si="136"/>
        <v>#DIV/0!</v>
      </c>
      <c r="CH22" s="14" t="e">
        <f t="shared" si="137"/>
        <v>#DIV/0!</v>
      </c>
      <c r="CI22" s="11">
        <v>1286</v>
      </c>
      <c r="CJ22" s="12">
        <v>21850</v>
      </c>
      <c r="CK22" s="13">
        <f t="shared" si="138"/>
        <v>16.990668740279936</v>
      </c>
      <c r="CL22" s="14">
        <f t="shared" si="139"/>
        <v>56.167499900466559</v>
      </c>
      <c r="CM22" s="11">
        <v>4443</v>
      </c>
      <c r="CN22" s="12">
        <v>78200</v>
      </c>
      <c r="CO22" s="13">
        <f t="shared" si="140"/>
        <v>17.600720234076075</v>
      </c>
      <c r="CP22" s="14">
        <f t="shared" si="141"/>
        <v>58.184199051091603</v>
      </c>
      <c r="CQ22" s="11">
        <v>22711</v>
      </c>
      <c r="CR22" s="12">
        <v>427380</v>
      </c>
      <c r="CS22" s="13">
        <f t="shared" si="142"/>
        <v>18.818193826779975</v>
      </c>
      <c r="CT22" s="14">
        <f t="shared" si="143"/>
        <v>62.2089051378451</v>
      </c>
      <c r="CU22" s="11">
        <v>2653</v>
      </c>
      <c r="CV22" s="12">
        <v>100500</v>
      </c>
      <c r="CW22" s="13">
        <f t="shared" si="144"/>
        <v>37.88164342254052</v>
      </c>
      <c r="CX22" s="14">
        <f t="shared" si="145"/>
        <v>125.22857314738032</v>
      </c>
      <c r="CY22" s="11">
        <v>0</v>
      </c>
      <c r="CZ22" s="12">
        <v>0</v>
      </c>
      <c r="DA22" s="13" t="e">
        <f t="shared" si="146"/>
        <v>#DIV/0!</v>
      </c>
      <c r="DB22" s="14" t="e">
        <f t="shared" si="147"/>
        <v>#DIV/0!</v>
      </c>
      <c r="DC22" s="11">
        <v>12946</v>
      </c>
      <c r="DD22" s="12">
        <v>302550</v>
      </c>
      <c r="DE22" s="13">
        <f t="shared" si="148"/>
        <v>23.370152942993975</v>
      </c>
      <c r="DF22" s="14">
        <f t="shared" si="149"/>
        <v>77.256703851073695</v>
      </c>
      <c r="DG22" s="11">
        <v>9698</v>
      </c>
      <c r="DH22" s="12">
        <v>267800</v>
      </c>
      <c r="DI22" s="13">
        <f t="shared" si="150"/>
        <v>27.613941018766756</v>
      </c>
      <c r="DJ22" s="14">
        <f t="shared" si="151"/>
        <v>91.285755324396774</v>
      </c>
      <c r="DK22" s="11">
        <v>0</v>
      </c>
      <c r="DL22" s="12">
        <v>0</v>
      </c>
      <c r="DM22" s="13" t="e">
        <f t="shared" si="152"/>
        <v>#DIV/0!</v>
      </c>
      <c r="DN22" s="14" t="e">
        <f t="shared" si="153"/>
        <v>#DIV/0!</v>
      </c>
      <c r="DO22" s="11">
        <v>0</v>
      </c>
      <c r="DP22" s="12">
        <v>0</v>
      </c>
      <c r="DQ22" s="13" t="e">
        <f t="shared" si="154"/>
        <v>#DIV/0!</v>
      </c>
      <c r="DR22" s="14" t="e">
        <f t="shared" si="155"/>
        <v>#DIV/0!</v>
      </c>
      <c r="DS22" s="11">
        <v>1724</v>
      </c>
      <c r="DT22" s="12">
        <v>29300</v>
      </c>
      <c r="DU22" s="13">
        <f t="shared" si="156"/>
        <v>16.995359628770302</v>
      </c>
      <c r="DV22" s="14">
        <f t="shared" si="157"/>
        <v>56.183006969837585</v>
      </c>
      <c r="DW22" s="11">
        <v>111736</v>
      </c>
      <c r="DX22" s="12">
        <v>2179930</v>
      </c>
      <c r="DY22" s="13">
        <f t="shared" si="158"/>
        <v>19.509647741104033</v>
      </c>
      <c r="DZ22" s="14">
        <f t="shared" si="159"/>
        <v>64.494703198983316</v>
      </c>
      <c r="EA22" s="11">
        <v>15871</v>
      </c>
      <c r="EB22" s="12">
        <v>418575</v>
      </c>
      <c r="EC22" s="13">
        <f t="shared" si="160"/>
        <v>26.373574443954382</v>
      </c>
      <c r="ED22" s="14">
        <f t="shared" si="161"/>
        <v>87.185369958036674</v>
      </c>
      <c r="EE22" s="11">
        <v>0</v>
      </c>
      <c r="EF22" s="12">
        <v>0</v>
      </c>
      <c r="EG22" s="13" t="e">
        <f t="shared" si="162"/>
        <v>#DIV/0!</v>
      </c>
      <c r="EH22" s="14" t="e">
        <f t="shared" si="163"/>
        <v>#DIV/0!</v>
      </c>
      <c r="EI22" s="11">
        <v>25</v>
      </c>
      <c r="EJ22" s="12">
        <v>100</v>
      </c>
      <c r="EK22" s="13">
        <f t="shared" si="164"/>
        <v>4</v>
      </c>
      <c r="EL22" s="14">
        <f t="shared" si="165"/>
        <v>13.22314048</v>
      </c>
      <c r="EM22" s="11">
        <v>255890</v>
      </c>
      <c r="EN22" s="12">
        <v>4832990</v>
      </c>
      <c r="EO22" s="13">
        <f t="shared" si="166"/>
        <v>18.886982687873697</v>
      </c>
      <c r="EP22" s="14">
        <f t="shared" si="167"/>
        <v>62.436306331270472</v>
      </c>
      <c r="EQ22" s="11">
        <v>50404</v>
      </c>
      <c r="ER22" s="12">
        <v>946610</v>
      </c>
      <c r="ES22" s="13">
        <f t="shared" si="168"/>
        <v>18.780453932227601</v>
      </c>
      <c r="ET22" s="14">
        <f t="shared" si="169"/>
        <v>62.084145156003494</v>
      </c>
      <c r="EU22" s="11">
        <v>25315</v>
      </c>
      <c r="EV22" s="12">
        <v>834801.07820999995</v>
      </c>
      <c r="EW22" s="13">
        <f t="shared" si="170"/>
        <v>32.976538740272566</v>
      </c>
      <c r="EX22" s="14">
        <f t="shared" si="171"/>
        <v>109.01335107669659</v>
      </c>
      <c r="EY22" s="11">
        <v>47793</v>
      </c>
      <c r="EZ22" s="12">
        <v>1028281.63805</v>
      </c>
      <c r="FA22" s="13">
        <f t="shared" si="172"/>
        <v>21.515318938965958</v>
      </c>
      <c r="FB22" s="14">
        <f t="shared" si="173"/>
        <v>71.125021200487851</v>
      </c>
      <c r="FC22" s="11">
        <v>16411</v>
      </c>
      <c r="FD22" s="12">
        <v>267589.42606999999</v>
      </c>
      <c r="FE22" s="13">
        <f t="shared" si="174"/>
        <v>16.305491808543049</v>
      </c>
      <c r="FF22" s="14">
        <f t="shared" si="175"/>
        <v>53.902452194963502</v>
      </c>
      <c r="FG22" s="11">
        <v>87387</v>
      </c>
      <c r="FH22" s="12">
        <v>2104780.5047300002</v>
      </c>
      <c r="FI22" s="13">
        <f t="shared" si="176"/>
        <v>24.08573935173424</v>
      </c>
      <c r="FJ22" s="14">
        <f t="shared" si="177"/>
        <v>79.622278753161496</v>
      </c>
      <c r="FK22" s="11">
        <v>94733</v>
      </c>
      <c r="FL22" s="12">
        <v>2701573.82712</v>
      </c>
      <c r="FM22" s="13">
        <f t="shared" si="178"/>
        <v>28.517769173572038</v>
      </c>
      <c r="FN22" s="14">
        <f t="shared" si="179"/>
        <v>94.273616989589144</v>
      </c>
      <c r="FO22" s="11">
        <v>116589</v>
      </c>
      <c r="FP22" s="12">
        <v>3146602.7457699999</v>
      </c>
      <c r="FQ22" s="13">
        <f t="shared" si="180"/>
        <v>26.988847539390509</v>
      </c>
      <c r="FR22" s="14">
        <f t="shared" si="181"/>
        <v>89.21933060166576</v>
      </c>
      <c r="FS22" s="11">
        <v>96077</v>
      </c>
      <c r="FT22" s="12">
        <v>2270387.1455899999</v>
      </c>
      <c r="FU22" s="13">
        <f t="shared" si="182"/>
        <v>23.63091213911758</v>
      </c>
      <c r="FV22" s="14">
        <f t="shared" si="183"/>
        <v>78.118717721522259</v>
      </c>
      <c r="FW22" s="11">
        <v>69494</v>
      </c>
      <c r="FX22" s="12">
        <v>1998559.50181</v>
      </c>
      <c r="FY22" s="13">
        <f t="shared" si="184"/>
        <v>28.758734593058396</v>
      </c>
      <c r="FZ22" s="14">
        <f t="shared" si="185"/>
        <v>95.070196887761696</v>
      </c>
      <c r="GA22" s="11">
        <v>262209</v>
      </c>
      <c r="GB22" s="31">
        <v>5718614.2577299997</v>
      </c>
      <c r="GC22" s="32">
        <f t="shared" si="90"/>
        <v>21.809374421663634</v>
      </c>
      <c r="GD22" s="14">
        <f t="shared" si="91"/>
        <v>72.097105439644238</v>
      </c>
      <c r="GE22" s="11">
        <v>30935</v>
      </c>
      <c r="GF22" s="31">
        <v>743218.09381999995</v>
      </c>
      <c r="GG22" s="32">
        <f t="shared" si="92"/>
        <v>24.025152539841603</v>
      </c>
      <c r="GH22" s="14">
        <f t="shared" si="93"/>
        <v>79.421991771938579</v>
      </c>
      <c r="GI22" s="11">
        <v>28816</v>
      </c>
      <c r="GJ22" s="31">
        <v>1068346</v>
      </c>
      <c r="GK22" s="32">
        <f t="shared" si="94"/>
        <v>37.074750138811773</v>
      </c>
      <c r="GL22" s="14">
        <f t="shared" si="95"/>
        <v>122.56115733660189</v>
      </c>
    </row>
    <row r="23" spans="2:194">
      <c r="B23" s="2" t="s">
        <v>4</v>
      </c>
      <c r="C23" s="11">
        <v>14738</v>
      </c>
      <c r="D23" s="12">
        <v>528100</v>
      </c>
      <c r="E23" s="13">
        <f t="shared" si="96"/>
        <v>35.832541728864157</v>
      </c>
      <c r="F23" s="14">
        <f t="shared" si="97"/>
        <v>118.4546832590582</v>
      </c>
      <c r="G23" s="11">
        <v>0</v>
      </c>
      <c r="H23" s="12">
        <v>0</v>
      </c>
      <c r="I23" s="13" t="e">
        <f t="shared" si="98"/>
        <v>#DIV/0!</v>
      </c>
      <c r="J23" s="14" t="e">
        <f t="shared" si="99"/>
        <v>#DIV/0!</v>
      </c>
      <c r="K23" s="11">
        <v>0</v>
      </c>
      <c r="L23" s="12">
        <v>0</v>
      </c>
      <c r="M23" s="13" t="e">
        <f t="shared" si="100"/>
        <v>#DIV/0!</v>
      </c>
      <c r="N23" s="14" t="e">
        <f t="shared" si="101"/>
        <v>#DIV/0!</v>
      </c>
      <c r="O23" s="11">
        <v>0</v>
      </c>
      <c r="P23" s="12">
        <v>0</v>
      </c>
      <c r="Q23" s="13" t="e">
        <f t="shared" si="102"/>
        <v>#DIV/0!</v>
      </c>
      <c r="R23" s="14" t="e">
        <f t="shared" si="103"/>
        <v>#DIV/0!</v>
      </c>
      <c r="S23" s="11">
        <v>0</v>
      </c>
      <c r="T23" s="12">
        <v>0</v>
      </c>
      <c r="U23" s="13" t="e">
        <f t="shared" si="104"/>
        <v>#DIV/0!</v>
      </c>
      <c r="V23" s="14" t="e">
        <f t="shared" si="105"/>
        <v>#DIV/0!</v>
      </c>
      <c r="W23" s="11">
        <v>30</v>
      </c>
      <c r="X23" s="12">
        <v>300</v>
      </c>
      <c r="Y23" s="13">
        <f t="shared" si="106"/>
        <v>10</v>
      </c>
      <c r="Z23" s="14">
        <f t="shared" si="107"/>
        <v>33.057851200000002</v>
      </c>
      <c r="AA23" s="11">
        <v>0</v>
      </c>
      <c r="AB23" s="12">
        <v>0</v>
      </c>
      <c r="AC23" s="13" t="e">
        <f t="shared" si="108"/>
        <v>#DIV/0!</v>
      </c>
      <c r="AD23" s="14" t="e">
        <f t="shared" si="109"/>
        <v>#DIV/0!</v>
      </c>
      <c r="AE23" s="11">
        <v>19491</v>
      </c>
      <c r="AF23" s="12">
        <v>636370</v>
      </c>
      <c r="AG23" s="13">
        <f t="shared" si="110"/>
        <v>32.649427941101024</v>
      </c>
      <c r="AH23" s="14">
        <f t="shared" si="111"/>
        <v>107.93199306420399</v>
      </c>
      <c r="AI23" s="11">
        <v>0</v>
      </c>
      <c r="AJ23" s="12">
        <v>0</v>
      </c>
      <c r="AK23" s="13" t="e">
        <f t="shared" si="112"/>
        <v>#DIV/0!</v>
      </c>
      <c r="AL23" s="14" t="e">
        <f t="shared" si="113"/>
        <v>#DIV/0!</v>
      </c>
      <c r="AM23" s="11">
        <v>1473</v>
      </c>
      <c r="AN23" s="12">
        <v>2000</v>
      </c>
      <c r="AO23" s="13">
        <f t="shared" si="114"/>
        <v>1.3577732518669383</v>
      </c>
      <c r="AP23" s="14">
        <f t="shared" si="115"/>
        <v>4.4885066123557369</v>
      </c>
      <c r="AQ23" s="11">
        <v>0</v>
      </c>
      <c r="AR23" s="12">
        <v>0</v>
      </c>
      <c r="AS23" s="13" t="e">
        <f t="shared" si="116"/>
        <v>#DIV/0!</v>
      </c>
      <c r="AT23" s="14" t="e">
        <f t="shared" si="117"/>
        <v>#DIV/0!</v>
      </c>
      <c r="AU23" s="11">
        <v>45486</v>
      </c>
      <c r="AV23" s="12">
        <v>2000000</v>
      </c>
      <c r="AW23" s="13">
        <f t="shared" si="118"/>
        <v>43.969573055445629</v>
      </c>
      <c r="AX23" s="14">
        <f t="shared" si="119"/>
        <v>145.35396033944508</v>
      </c>
      <c r="AY23" s="11">
        <v>0</v>
      </c>
      <c r="AZ23" s="12">
        <v>0</v>
      </c>
      <c r="BA23" s="13" t="e">
        <f t="shared" si="120"/>
        <v>#DIV/0!</v>
      </c>
      <c r="BB23" s="14" t="e">
        <f t="shared" si="121"/>
        <v>#DIV/0!</v>
      </c>
      <c r="BC23" s="11">
        <v>0</v>
      </c>
      <c r="BD23" s="12">
        <v>0</v>
      </c>
      <c r="BE23" s="13" t="e">
        <f t="shared" si="122"/>
        <v>#DIV/0!</v>
      </c>
      <c r="BF23" s="14" t="e">
        <f t="shared" si="123"/>
        <v>#DIV/0!</v>
      </c>
      <c r="BG23" s="11">
        <v>0</v>
      </c>
      <c r="BH23" s="12">
        <v>0</v>
      </c>
      <c r="BI23" s="13" t="e">
        <f t="shared" si="124"/>
        <v>#DIV/0!</v>
      </c>
      <c r="BJ23" s="14" t="e">
        <f t="shared" si="125"/>
        <v>#DIV/0!</v>
      </c>
      <c r="BK23" s="11">
        <v>0</v>
      </c>
      <c r="BL23" s="12">
        <v>0</v>
      </c>
      <c r="BM23" s="13" t="e">
        <f t="shared" si="126"/>
        <v>#DIV/0!</v>
      </c>
      <c r="BN23" s="14" t="e">
        <f t="shared" si="127"/>
        <v>#DIV/0!</v>
      </c>
      <c r="BO23" s="11">
        <v>0</v>
      </c>
      <c r="BP23" s="12">
        <v>0</v>
      </c>
      <c r="BQ23" s="13" t="e">
        <f t="shared" si="128"/>
        <v>#DIV/0!</v>
      </c>
      <c r="BR23" s="14" t="e">
        <f t="shared" si="129"/>
        <v>#DIV/0!</v>
      </c>
      <c r="BS23" s="11">
        <v>0</v>
      </c>
      <c r="BT23" s="12">
        <v>0</v>
      </c>
      <c r="BU23" s="13" t="e">
        <f t="shared" si="130"/>
        <v>#DIV/0!</v>
      </c>
      <c r="BV23" s="14" t="e">
        <f t="shared" si="131"/>
        <v>#DIV/0!</v>
      </c>
      <c r="BW23" s="11">
        <v>0</v>
      </c>
      <c r="BX23" s="12">
        <v>0</v>
      </c>
      <c r="BY23" s="13" t="e">
        <f t="shared" si="132"/>
        <v>#DIV/0!</v>
      </c>
      <c r="BZ23" s="14" t="e">
        <f t="shared" si="133"/>
        <v>#DIV/0!</v>
      </c>
      <c r="CA23" s="11">
        <v>0</v>
      </c>
      <c r="CB23" s="12">
        <v>0</v>
      </c>
      <c r="CC23" s="13" t="e">
        <f t="shared" si="134"/>
        <v>#DIV/0!</v>
      </c>
      <c r="CD23" s="14" t="e">
        <f t="shared" si="135"/>
        <v>#DIV/0!</v>
      </c>
      <c r="CE23" s="11">
        <v>0</v>
      </c>
      <c r="CF23" s="12">
        <v>0</v>
      </c>
      <c r="CG23" s="13" t="e">
        <f t="shared" si="136"/>
        <v>#DIV/0!</v>
      </c>
      <c r="CH23" s="14" t="e">
        <f t="shared" si="137"/>
        <v>#DIV/0!</v>
      </c>
      <c r="CI23" s="11">
        <v>0</v>
      </c>
      <c r="CJ23" s="12">
        <v>0</v>
      </c>
      <c r="CK23" s="13" t="e">
        <f t="shared" si="138"/>
        <v>#DIV/0!</v>
      </c>
      <c r="CL23" s="14" t="e">
        <f t="shared" si="139"/>
        <v>#DIV/0!</v>
      </c>
      <c r="CM23" s="11">
        <v>0</v>
      </c>
      <c r="CN23" s="12">
        <v>0</v>
      </c>
      <c r="CO23" s="13" t="e">
        <f t="shared" si="140"/>
        <v>#DIV/0!</v>
      </c>
      <c r="CP23" s="14" t="e">
        <f t="shared" si="141"/>
        <v>#DIV/0!</v>
      </c>
      <c r="CQ23" s="11">
        <v>0</v>
      </c>
      <c r="CR23" s="12">
        <v>0</v>
      </c>
      <c r="CS23" s="13" t="e">
        <f t="shared" si="142"/>
        <v>#DIV/0!</v>
      </c>
      <c r="CT23" s="14" t="e">
        <f t="shared" si="143"/>
        <v>#DIV/0!</v>
      </c>
      <c r="CU23" s="11">
        <v>0</v>
      </c>
      <c r="CV23" s="12">
        <v>0</v>
      </c>
      <c r="CW23" s="13" t="e">
        <f t="shared" si="144"/>
        <v>#DIV/0!</v>
      </c>
      <c r="CX23" s="14" t="e">
        <f t="shared" si="145"/>
        <v>#DIV/0!</v>
      </c>
      <c r="CY23" s="11">
        <v>16982</v>
      </c>
      <c r="CZ23" s="12">
        <v>1250000</v>
      </c>
      <c r="DA23" s="13">
        <f t="shared" si="146"/>
        <v>73.607348957719935</v>
      </c>
      <c r="DB23" s="14">
        <f t="shared" si="147"/>
        <v>243.33007890707808</v>
      </c>
      <c r="DC23" s="11">
        <v>888</v>
      </c>
      <c r="DD23" s="12">
        <v>47860</v>
      </c>
      <c r="DE23" s="13">
        <f t="shared" si="148"/>
        <v>53.896396396396398</v>
      </c>
      <c r="DF23" s="14">
        <f t="shared" si="149"/>
        <v>178.16990522882884</v>
      </c>
      <c r="DG23" s="11">
        <v>0</v>
      </c>
      <c r="DH23" s="12">
        <v>0</v>
      </c>
      <c r="DI23" s="13" t="e">
        <f t="shared" si="150"/>
        <v>#DIV/0!</v>
      </c>
      <c r="DJ23" s="14" t="e">
        <f t="shared" si="151"/>
        <v>#DIV/0!</v>
      </c>
      <c r="DK23" s="11">
        <v>0</v>
      </c>
      <c r="DL23" s="12">
        <v>0</v>
      </c>
      <c r="DM23" s="13" t="e">
        <f t="shared" si="152"/>
        <v>#DIV/0!</v>
      </c>
      <c r="DN23" s="14" t="e">
        <f t="shared" si="153"/>
        <v>#DIV/0!</v>
      </c>
      <c r="DO23" s="11">
        <v>0</v>
      </c>
      <c r="DP23" s="12">
        <v>0</v>
      </c>
      <c r="DQ23" s="13" t="e">
        <f t="shared" si="154"/>
        <v>#DIV/0!</v>
      </c>
      <c r="DR23" s="14" t="e">
        <f t="shared" si="155"/>
        <v>#DIV/0!</v>
      </c>
      <c r="DS23" s="11">
        <v>854</v>
      </c>
      <c r="DT23" s="12">
        <v>100000</v>
      </c>
      <c r="DU23" s="13">
        <f t="shared" si="156"/>
        <v>117.096018735363</v>
      </c>
      <c r="DV23" s="14">
        <f t="shared" si="157"/>
        <v>387.0942763466042</v>
      </c>
      <c r="DW23" s="11">
        <v>0</v>
      </c>
      <c r="DX23" s="12">
        <v>0</v>
      </c>
      <c r="DY23" s="13" t="e">
        <f t="shared" si="158"/>
        <v>#DIV/0!</v>
      </c>
      <c r="DZ23" s="14" t="e">
        <f t="shared" si="159"/>
        <v>#DIV/0!</v>
      </c>
      <c r="EA23" s="11">
        <v>0</v>
      </c>
      <c r="EB23" s="12">
        <v>0</v>
      </c>
      <c r="EC23" s="13" t="e">
        <f t="shared" si="160"/>
        <v>#DIV/0!</v>
      </c>
      <c r="ED23" s="14" t="e">
        <f t="shared" si="161"/>
        <v>#DIV/0!</v>
      </c>
      <c r="EE23" s="11">
        <v>0</v>
      </c>
      <c r="EF23" s="12">
        <v>0</v>
      </c>
      <c r="EG23" s="13" t="e">
        <f t="shared" si="162"/>
        <v>#DIV/0!</v>
      </c>
      <c r="EH23" s="14" t="e">
        <f t="shared" si="163"/>
        <v>#DIV/0!</v>
      </c>
      <c r="EI23" s="11">
        <v>0</v>
      </c>
      <c r="EJ23" s="12">
        <v>0</v>
      </c>
      <c r="EK23" s="13" t="e">
        <f t="shared" si="164"/>
        <v>#DIV/0!</v>
      </c>
      <c r="EL23" s="14" t="e">
        <f t="shared" si="165"/>
        <v>#DIV/0!</v>
      </c>
      <c r="EM23" s="11">
        <v>0</v>
      </c>
      <c r="EN23" s="12">
        <v>0</v>
      </c>
      <c r="EO23" s="13" t="e">
        <f t="shared" si="166"/>
        <v>#DIV/0!</v>
      </c>
      <c r="EP23" s="14" t="e">
        <f t="shared" si="167"/>
        <v>#DIV/0!</v>
      </c>
      <c r="EQ23" s="11">
        <v>0</v>
      </c>
      <c r="ER23" s="12">
        <v>0</v>
      </c>
      <c r="ES23" s="13" t="e">
        <f t="shared" si="168"/>
        <v>#DIV/0!</v>
      </c>
      <c r="ET23" s="14" t="e">
        <f t="shared" si="169"/>
        <v>#DIV/0!</v>
      </c>
      <c r="EU23" s="11">
        <v>1354</v>
      </c>
      <c r="EV23" s="12">
        <v>111816.81681999999</v>
      </c>
      <c r="EW23" s="13">
        <f t="shared" si="170"/>
        <v>82.582582584933519</v>
      </c>
      <c r="EX23" s="14">
        <f t="shared" si="171"/>
        <v>273.00027268044437</v>
      </c>
      <c r="EY23" s="11">
        <v>1254</v>
      </c>
      <c r="EZ23" s="12">
        <v>76724.415529999998</v>
      </c>
      <c r="FA23" s="13">
        <f t="shared" si="172"/>
        <v>61.183744441786281</v>
      </c>
      <c r="FB23" s="14">
        <f t="shared" si="173"/>
        <v>202.2603119615398</v>
      </c>
      <c r="FC23" s="11">
        <v>6398</v>
      </c>
      <c r="FD23" s="12">
        <v>149693.78766</v>
      </c>
      <c r="FE23" s="13">
        <f t="shared" si="174"/>
        <v>23.396965873710535</v>
      </c>
      <c r="FF23" s="14">
        <f t="shared" si="175"/>
        <v>77.345341638460084</v>
      </c>
      <c r="FG23" s="11">
        <v>21156</v>
      </c>
      <c r="FH23" s="12">
        <v>723762.28367000003</v>
      </c>
      <c r="FI23" s="13">
        <f t="shared" si="176"/>
        <v>34.210733771506902</v>
      </c>
      <c r="FJ23" s="14">
        <f t="shared" si="177"/>
        <v>113.09333464612899</v>
      </c>
      <c r="FK23" s="11">
        <v>582</v>
      </c>
      <c r="FL23" s="12">
        <v>101422.4924</v>
      </c>
      <c r="FM23" s="13">
        <f t="shared" si="178"/>
        <v>174.26545085910652</v>
      </c>
      <c r="FN23" s="14">
        <f t="shared" si="179"/>
        <v>576.08413438012553</v>
      </c>
      <c r="FO23" s="11">
        <v>0</v>
      </c>
      <c r="FP23" s="12">
        <v>0</v>
      </c>
      <c r="FQ23" s="13" t="e">
        <f t="shared" si="180"/>
        <v>#DIV/0!</v>
      </c>
      <c r="FR23" s="14" t="e">
        <f t="shared" si="181"/>
        <v>#DIV/0!</v>
      </c>
      <c r="FS23" s="11">
        <v>511</v>
      </c>
      <c r="FT23" s="12">
        <v>20222.22222</v>
      </c>
      <c r="FU23" s="13">
        <f t="shared" si="182"/>
        <v>39.573820391389432</v>
      </c>
      <c r="FV23" s="14">
        <f t="shared" si="183"/>
        <v>130.82254659140776</v>
      </c>
      <c r="FW23" s="11">
        <v>740</v>
      </c>
      <c r="FX23" s="12">
        <v>39900.510770000001</v>
      </c>
      <c r="FY23" s="13">
        <f t="shared" si="184"/>
        <v>53.919609148648647</v>
      </c>
      <c r="FZ23" s="14">
        <f t="shared" si="185"/>
        <v>178.24664159981856</v>
      </c>
      <c r="GA23" s="11">
        <v>0</v>
      </c>
      <c r="GB23" s="31">
        <v>0</v>
      </c>
      <c r="GC23" s="32" t="e">
        <f t="shared" si="90"/>
        <v>#DIV/0!</v>
      </c>
      <c r="GD23" s="14" t="e">
        <f t="shared" si="91"/>
        <v>#DIV/0!</v>
      </c>
      <c r="GE23" s="11">
        <v>886</v>
      </c>
      <c r="GF23" s="31">
        <v>35089.108910000003</v>
      </c>
      <c r="GG23" s="32">
        <f t="shared" si="92"/>
        <v>39.603960395033866</v>
      </c>
      <c r="GH23" s="14">
        <f t="shared" si="93"/>
        <v>130.92218296697226</v>
      </c>
      <c r="GI23" s="11">
        <v>0</v>
      </c>
      <c r="GJ23" s="31">
        <v>0</v>
      </c>
      <c r="GK23" s="32" t="e">
        <f t="shared" si="94"/>
        <v>#DIV/0!</v>
      </c>
      <c r="GL23" s="14" t="e">
        <f t="shared" si="95"/>
        <v>#DIV/0!</v>
      </c>
    </row>
    <row r="24" spans="2:194">
      <c r="B24" s="2" t="s">
        <v>5</v>
      </c>
      <c r="C24" s="11">
        <v>10862</v>
      </c>
      <c r="D24" s="12">
        <v>418652</v>
      </c>
      <c r="E24" s="13">
        <f t="shared" si="96"/>
        <v>38.54280979561775</v>
      </c>
      <c r="F24" s="14">
        <f t="shared" si="97"/>
        <v>127.41424710534339</v>
      </c>
      <c r="G24" s="11">
        <v>0</v>
      </c>
      <c r="H24" s="12">
        <v>0</v>
      </c>
      <c r="I24" s="13" t="e">
        <f t="shared" si="98"/>
        <v>#DIV/0!</v>
      </c>
      <c r="J24" s="14" t="e">
        <f t="shared" si="99"/>
        <v>#DIV/0!</v>
      </c>
      <c r="K24" s="11">
        <v>570</v>
      </c>
      <c r="L24" s="12">
        <v>11000</v>
      </c>
      <c r="M24" s="13">
        <f t="shared" si="100"/>
        <v>19.298245614035089</v>
      </c>
      <c r="N24" s="14">
        <f t="shared" si="101"/>
        <v>63.795853192982456</v>
      </c>
      <c r="O24" s="11">
        <v>0</v>
      </c>
      <c r="P24" s="12">
        <v>0</v>
      </c>
      <c r="Q24" s="13" t="e">
        <f t="shared" si="102"/>
        <v>#DIV/0!</v>
      </c>
      <c r="R24" s="14" t="e">
        <f t="shared" si="103"/>
        <v>#DIV/0!</v>
      </c>
      <c r="S24" s="11">
        <v>1939</v>
      </c>
      <c r="T24" s="12">
        <v>62334</v>
      </c>
      <c r="U24" s="13">
        <f t="shared" si="104"/>
        <v>32.147498710675606</v>
      </c>
      <c r="V24" s="14">
        <f t="shared" si="105"/>
        <v>106.2727228829706</v>
      </c>
      <c r="W24" s="11">
        <v>0</v>
      </c>
      <c r="X24" s="12">
        <v>0</v>
      </c>
      <c r="Y24" s="13" t="e">
        <f t="shared" si="106"/>
        <v>#DIV/0!</v>
      </c>
      <c r="Z24" s="14" t="e">
        <f t="shared" si="107"/>
        <v>#DIV/0!</v>
      </c>
      <c r="AA24" s="11">
        <v>0</v>
      </c>
      <c r="AB24" s="12">
        <v>0</v>
      </c>
      <c r="AC24" s="13" t="e">
        <f t="shared" si="108"/>
        <v>#DIV/0!</v>
      </c>
      <c r="AD24" s="14" t="e">
        <f t="shared" si="109"/>
        <v>#DIV/0!</v>
      </c>
      <c r="AE24" s="11">
        <v>0</v>
      </c>
      <c r="AF24" s="12">
        <v>0</v>
      </c>
      <c r="AG24" s="13" t="e">
        <f t="shared" si="110"/>
        <v>#DIV/0!</v>
      </c>
      <c r="AH24" s="14" t="e">
        <f t="shared" si="111"/>
        <v>#DIV/0!</v>
      </c>
      <c r="AI24" s="11">
        <v>0</v>
      </c>
      <c r="AJ24" s="12">
        <v>0</v>
      </c>
      <c r="AK24" s="13" t="e">
        <f t="shared" si="112"/>
        <v>#DIV/0!</v>
      </c>
      <c r="AL24" s="14" t="e">
        <f t="shared" si="113"/>
        <v>#DIV/0!</v>
      </c>
      <c r="AM24" s="11">
        <v>0</v>
      </c>
      <c r="AN24" s="12">
        <v>0</v>
      </c>
      <c r="AO24" s="13" t="e">
        <f t="shared" si="114"/>
        <v>#DIV/0!</v>
      </c>
      <c r="AP24" s="14" t="e">
        <f t="shared" si="115"/>
        <v>#DIV/0!</v>
      </c>
      <c r="AQ24" s="11">
        <v>884</v>
      </c>
      <c r="AR24" s="12">
        <v>60000</v>
      </c>
      <c r="AS24" s="13">
        <f t="shared" si="116"/>
        <v>67.873303167420815</v>
      </c>
      <c r="AT24" s="14">
        <f t="shared" si="117"/>
        <v>224.37455565610858</v>
      </c>
      <c r="AU24" s="11">
        <v>6369</v>
      </c>
      <c r="AV24" s="12">
        <v>250000</v>
      </c>
      <c r="AW24" s="13">
        <f t="shared" si="118"/>
        <v>39.252629926205053</v>
      </c>
      <c r="AX24" s="14">
        <f t="shared" si="119"/>
        <v>129.76075993091536</v>
      </c>
      <c r="AY24" s="11">
        <v>1333</v>
      </c>
      <c r="AZ24" s="12">
        <v>77000</v>
      </c>
      <c r="BA24" s="13">
        <f t="shared" si="120"/>
        <v>57.764441110277566</v>
      </c>
      <c r="BB24" s="14">
        <f t="shared" si="121"/>
        <v>190.95682988747186</v>
      </c>
      <c r="BC24" s="11">
        <v>0</v>
      </c>
      <c r="BD24" s="12">
        <v>0</v>
      </c>
      <c r="BE24" s="13" t="e">
        <f t="shared" si="122"/>
        <v>#DIV/0!</v>
      </c>
      <c r="BF24" s="14" t="e">
        <f t="shared" si="123"/>
        <v>#DIV/0!</v>
      </c>
      <c r="BG24" s="11">
        <v>0</v>
      </c>
      <c r="BH24" s="12">
        <v>0</v>
      </c>
      <c r="BI24" s="13" t="e">
        <f t="shared" si="124"/>
        <v>#DIV/0!</v>
      </c>
      <c r="BJ24" s="14" t="e">
        <f t="shared" si="125"/>
        <v>#DIV/0!</v>
      </c>
      <c r="BK24" s="11">
        <v>2687</v>
      </c>
      <c r="BL24" s="12">
        <v>75000</v>
      </c>
      <c r="BM24" s="13">
        <f t="shared" si="126"/>
        <v>27.912169705991811</v>
      </c>
      <c r="BN24" s="14">
        <f t="shared" si="127"/>
        <v>92.271635280982508</v>
      </c>
      <c r="BO24" s="11">
        <v>2893</v>
      </c>
      <c r="BP24" s="12">
        <v>119500</v>
      </c>
      <c r="BQ24" s="13">
        <f t="shared" si="128"/>
        <v>41.306602143104044</v>
      </c>
      <c r="BR24" s="14">
        <f t="shared" si="129"/>
        <v>136.55075072243346</v>
      </c>
      <c r="BS24" s="11">
        <v>281</v>
      </c>
      <c r="BT24" s="12">
        <v>9200</v>
      </c>
      <c r="BU24" s="13">
        <f t="shared" si="130"/>
        <v>32.740213523131672</v>
      </c>
      <c r="BV24" s="14">
        <f t="shared" si="131"/>
        <v>108.23211069039145</v>
      </c>
      <c r="BW24" s="11">
        <v>1407</v>
      </c>
      <c r="BX24" s="12">
        <v>50000</v>
      </c>
      <c r="BY24" s="13">
        <f t="shared" si="132"/>
        <v>35.536602700781806</v>
      </c>
      <c r="BZ24" s="14">
        <f t="shared" si="133"/>
        <v>117.4763724235963</v>
      </c>
      <c r="CA24" s="11">
        <v>211</v>
      </c>
      <c r="CB24" s="12">
        <v>3500</v>
      </c>
      <c r="CC24" s="13">
        <f t="shared" si="134"/>
        <v>16.587677725118482</v>
      </c>
      <c r="CD24" s="14">
        <f t="shared" si="135"/>
        <v>54.835298199052126</v>
      </c>
      <c r="CE24" s="11">
        <v>0</v>
      </c>
      <c r="CF24" s="12">
        <v>0</v>
      </c>
      <c r="CG24" s="13" t="e">
        <f t="shared" si="136"/>
        <v>#DIV/0!</v>
      </c>
      <c r="CH24" s="14" t="e">
        <f t="shared" si="137"/>
        <v>#DIV/0!</v>
      </c>
      <c r="CI24" s="11">
        <v>0</v>
      </c>
      <c r="CJ24" s="12">
        <v>0</v>
      </c>
      <c r="CK24" s="13" t="e">
        <f t="shared" si="138"/>
        <v>#DIV/0!</v>
      </c>
      <c r="CL24" s="14" t="e">
        <f t="shared" si="139"/>
        <v>#DIV/0!</v>
      </c>
      <c r="CM24" s="11">
        <v>0</v>
      </c>
      <c r="CN24" s="12">
        <v>0</v>
      </c>
      <c r="CO24" s="13" t="e">
        <f t="shared" si="140"/>
        <v>#DIV/0!</v>
      </c>
      <c r="CP24" s="14" t="e">
        <f t="shared" si="141"/>
        <v>#DIV/0!</v>
      </c>
      <c r="CQ24" s="11">
        <v>0</v>
      </c>
      <c r="CR24" s="12">
        <v>0</v>
      </c>
      <c r="CS24" s="13" t="e">
        <f t="shared" si="142"/>
        <v>#DIV/0!</v>
      </c>
      <c r="CT24" s="14" t="e">
        <f t="shared" si="143"/>
        <v>#DIV/0!</v>
      </c>
      <c r="CU24" s="11">
        <v>0</v>
      </c>
      <c r="CV24" s="12">
        <v>0</v>
      </c>
      <c r="CW24" s="13" t="e">
        <f t="shared" si="144"/>
        <v>#DIV/0!</v>
      </c>
      <c r="CX24" s="14" t="e">
        <f t="shared" si="145"/>
        <v>#DIV/0!</v>
      </c>
      <c r="CY24" s="11">
        <v>0</v>
      </c>
      <c r="CZ24" s="12">
        <v>0</v>
      </c>
      <c r="DA24" s="13" t="e">
        <f t="shared" si="146"/>
        <v>#DIV/0!</v>
      </c>
      <c r="DB24" s="14" t="e">
        <f t="shared" si="147"/>
        <v>#DIV/0!</v>
      </c>
      <c r="DC24" s="11">
        <v>645</v>
      </c>
      <c r="DD24" s="12">
        <v>18000</v>
      </c>
      <c r="DE24" s="13">
        <f t="shared" si="148"/>
        <v>27.906976744186046</v>
      </c>
      <c r="DF24" s="14">
        <f t="shared" si="149"/>
        <v>92.254468465116275</v>
      </c>
      <c r="DG24" s="11">
        <v>0</v>
      </c>
      <c r="DH24" s="12">
        <v>0</v>
      </c>
      <c r="DI24" s="13" t="e">
        <f t="shared" si="150"/>
        <v>#DIV/0!</v>
      </c>
      <c r="DJ24" s="14" t="e">
        <f t="shared" si="151"/>
        <v>#DIV/0!</v>
      </c>
      <c r="DK24" s="11">
        <v>0</v>
      </c>
      <c r="DL24" s="12">
        <v>0</v>
      </c>
      <c r="DM24" s="13" t="e">
        <f t="shared" si="152"/>
        <v>#DIV/0!</v>
      </c>
      <c r="DN24" s="14" t="e">
        <f t="shared" si="153"/>
        <v>#DIV/0!</v>
      </c>
      <c r="DO24" s="11">
        <v>0</v>
      </c>
      <c r="DP24" s="12">
        <v>0</v>
      </c>
      <c r="DQ24" s="13" t="e">
        <f t="shared" si="154"/>
        <v>#DIV/0!</v>
      </c>
      <c r="DR24" s="14" t="e">
        <f t="shared" si="155"/>
        <v>#DIV/0!</v>
      </c>
      <c r="DS24" s="11">
        <v>2493</v>
      </c>
      <c r="DT24" s="12">
        <v>94957</v>
      </c>
      <c r="DU24" s="13">
        <f t="shared" si="156"/>
        <v>38.089450461291619</v>
      </c>
      <c r="DV24" s="14">
        <f t="shared" si="157"/>
        <v>125.91553856391496</v>
      </c>
      <c r="DW24" s="11">
        <v>997</v>
      </c>
      <c r="DX24" s="12">
        <v>24000</v>
      </c>
      <c r="DY24" s="13">
        <f t="shared" si="158"/>
        <v>24.072216649949848</v>
      </c>
      <c r="DZ24" s="14">
        <f t="shared" si="159"/>
        <v>79.57757560682046</v>
      </c>
      <c r="EA24" s="11">
        <v>2372</v>
      </c>
      <c r="EB24" s="12">
        <v>106000</v>
      </c>
      <c r="EC24" s="13">
        <f t="shared" si="160"/>
        <v>44.68802698145025</v>
      </c>
      <c r="ED24" s="14">
        <f t="shared" si="161"/>
        <v>147.72901463743673</v>
      </c>
      <c r="EE24" s="11">
        <v>4067</v>
      </c>
      <c r="EF24" s="12">
        <v>160000</v>
      </c>
      <c r="EG24" s="13">
        <f t="shared" si="162"/>
        <v>39.341037619867222</v>
      </c>
      <c r="EH24" s="14">
        <f t="shared" si="163"/>
        <v>130.05301676911728</v>
      </c>
      <c r="EI24" s="11">
        <v>0</v>
      </c>
      <c r="EJ24" s="12">
        <v>0</v>
      </c>
      <c r="EK24" s="13" t="e">
        <f t="shared" si="164"/>
        <v>#DIV/0!</v>
      </c>
      <c r="EL24" s="14" t="e">
        <f t="shared" si="165"/>
        <v>#DIV/0!</v>
      </c>
      <c r="EM24" s="11">
        <v>0</v>
      </c>
      <c r="EN24" s="12">
        <v>0</v>
      </c>
      <c r="EO24" s="13" t="e">
        <f t="shared" si="166"/>
        <v>#DIV/0!</v>
      </c>
      <c r="EP24" s="14" t="e">
        <f t="shared" si="167"/>
        <v>#DIV/0!</v>
      </c>
      <c r="EQ24" s="11">
        <v>110</v>
      </c>
      <c r="ER24" s="12">
        <v>5000</v>
      </c>
      <c r="ES24" s="13">
        <f t="shared" si="168"/>
        <v>45.454545454545453</v>
      </c>
      <c r="ET24" s="14">
        <f t="shared" si="169"/>
        <v>150.26295999999999</v>
      </c>
      <c r="EU24" s="11">
        <v>764</v>
      </c>
      <c r="EV24" s="12">
        <v>27506.527259999999</v>
      </c>
      <c r="EW24" s="13">
        <f t="shared" si="170"/>
        <v>36.003307931937172</v>
      </c>
      <c r="EX24" s="14">
        <f t="shared" si="171"/>
        <v>119.01919963217587</v>
      </c>
      <c r="EY24" s="11">
        <v>18372</v>
      </c>
      <c r="EZ24" s="12">
        <v>1040804.5317000001</v>
      </c>
      <c r="FA24" s="13">
        <f t="shared" si="172"/>
        <v>56.651672746570874</v>
      </c>
      <c r="FB24" s="14">
        <f t="shared" si="173"/>
        <v>187.27825678872352</v>
      </c>
      <c r="FC24" s="11">
        <v>5564</v>
      </c>
      <c r="FD24" s="12">
        <v>234829.84823</v>
      </c>
      <c r="FE24" s="13">
        <f t="shared" si="174"/>
        <v>42.205220745866285</v>
      </c>
      <c r="FF24" s="14">
        <f t="shared" si="175"/>
        <v>139.52139072800006</v>
      </c>
      <c r="FG24" s="11">
        <v>5147</v>
      </c>
      <c r="FH24" s="12">
        <v>240459.30811000001</v>
      </c>
      <c r="FI24" s="13">
        <f t="shared" si="176"/>
        <v>46.718342356712654</v>
      </c>
      <c r="FJ24" s="14">
        <f t="shared" si="177"/>
        <v>154.44080099388643</v>
      </c>
      <c r="FK24" s="11">
        <v>4373</v>
      </c>
      <c r="FL24" s="12">
        <v>164206.49810999999</v>
      </c>
      <c r="FM24" s="13">
        <f t="shared" si="178"/>
        <v>37.550079604390575</v>
      </c>
      <c r="FN24" s="14">
        <f t="shared" si="179"/>
        <v>124.13249441100984</v>
      </c>
      <c r="FO24" s="11">
        <v>2404</v>
      </c>
      <c r="FP24" s="12">
        <v>146302.38670999999</v>
      </c>
      <c r="FQ24" s="13">
        <f t="shared" si="180"/>
        <v>60.857897965890182</v>
      </c>
      <c r="FR24" s="14">
        <f t="shared" si="181"/>
        <v>201.18313353011803</v>
      </c>
      <c r="FS24" s="11">
        <v>2384</v>
      </c>
      <c r="FT24" s="12">
        <v>78753.648369999995</v>
      </c>
      <c r="FU24" s="13">
        <f t="shared" si="182"/>
        <v>33.034248477348989</v>
      </c>
      <c r="FV24" s="14">
        <f t="shared" si="183"/>
        <v>109.20412706680294</v>
      </c>
      <c r="FW24" s="11">
        <v>1108</v>
      </c>
      <c r="FX24" s="12">
        <v>45521.626329999999</v>
      </c>
      <c r="FY24" s="13">
        <f t="shared" si="184"/>
        <v>41.084500297833934</v>
      </c>
      <c r="FZ24" s="14">
        <f t="shared" si="185"/>
        <v>135.81652974721499</v>
      </c>
      <c r="GA24" s="11">
        <v>2032</v>
      </c>
      <c r="GB24" s="31">
        <v>79696.483590000003</v>
      </c>
      <c r="GC24" s="32">
        <f t="shared" si="90"/>
        <v>39.220710428149609</v>
      </c>
      <c r="GD24" s="14">
        <f t="shared" si="91"/>
        <v>129.6552409292058</v>
      </c>
      <c r="GE24" s="11">
        <v>2262</v>
      </c>
      <c r="GF24" s="31">
        <v>101251.17323</v>
      </c>
      <c r="GG24" s="32">
        <f t="shared" si="92"/>
        <v>44.761791878868259</v>
      </c>
      <c r="GH24" s="14">
        <f t="shared" si="93"/>
        <v>147.97286553769953</v>
      </c>
      <c r="GI24" s="11">
        <v>1931</v>
      </c>
      <c r="GJ24" s="31">
        <v>62026</v>
      </c>
      <c r="GK24" s="32">
        <f t="shared" si="94"/>
        <v>32.121180735370274</v>
      </c>
      <c r="GL24" s="14">
        <f t="shared" si="95"/>
        <v>106.1857213118177</v>
      </c>
    </row>
    <row r="25" spans="2:194" ht="18.600000000000001" thickBot="1">
      <c r="B25" s="2" t="s">
        <v>6</v>
      </c>
      <c r="C25" s="15">
        <v>135960</v>
      </c>
      <c r="D25" s="16">
        <v>3178924</v>
      </c>
      <c r="E25" s="17">
        <f t="shared" si="96"/>
        <v>23.381318034716092</v>
      </c>
      <c r="F25" s="18">
        <f t="shared" si="97"/>
        <v>77.293613245152102</v>
      </c>
      <c r="G25" s="15">
        <v>74402</v>
      </c>
      <c r="H25" s="16">
        <v>2527876</v>
      </c>
      <c r="I25" s="17">
        <f t="shared" si="98"/>
        <v>33.975914625950914</v>
      </c>
      <c r="J25" s="18">
        <f t="shared" si="99"/>
        <v>112.3170730088589</v>
      </c>
      <c r="K25" s="15">
        <v>29901</v>
      </c>
      <c r="L25" s="16">
        <v>381930</v>
      </c>
      <c r="M25" s="17">
        <f t="shared" si="100"/>
        <v>12.773151399618742</v>
      </c>
      <c r="N25" s="18">
        <f t="shared" si="101"/>
        <v>42.225293832366809</v>
      </c>
      <c r="O25" s="15">
        <v>16458</v>
      </c>
      <c r="P25" s="16">
        <v>463500</v>
      </c>
      <c r="Q25" s="17">
        <f t="shared" si="102"/>
        <v>28.162595698140723</v>
      </c>
      <c r="R25" s="18">
        <f t="shared" si="103"/>
        <v>93.099489799489618</v>
      </c>
      <c r="S25" s="15">
        <v>3637</v>
      </c>
      <c r="T25" s="16">
        <v>28850</v>
      </c>
      <c r="U25" s="17">
        <f t="shared" si="104"/>
        <v>7.9323618366785809</v>
      </c>
      <c r="V25" s="18">
        <f t="shared" si="105"/>
        <v>26.22268372614792</v>
      </c>
      <c r="W25" s="15">
        <v>21600</v>
      </c>
      <c r="X25" s="16">
        <v>787690</v>
      </c>
      <c r="Y25" s="17">
        <f t="shared" si="106"/>
        <v>36.467129629629632</v>
      </c>
      <c r="Z25" s="18">
        <f t="shared" si="107"/>
        <v>120.55249449874074</v>
      </c>
      <c r="AA25" s="15">
        <v>27059</v>
      </c>
      <c r="AB25" s="16">
        <v>635736</v>
      </c>
      <c r="AC25" s="17">
        <f t="shared" si="108"/>
        <v>23.494438079751653</v>
      </c>
      <c r="AD25" s="18">
        <f t="shared" si="109"/>
        <v>77.667563806804381</v>
      </c>
      <c r="AE25" s="15">
        <v>198678</v>
      </c>
      <c r="AF25" s="16">
        <v>8486500</v>
      </c>
      <c r="AG25" s="17">
        <f t="shared" si="110"/>
        <v>42.714845126284743</v>
      </c>
      <c r="AH25" s="18">
        <f t="shared" si="111"/>
        <v>141.20609942157662</v>
      </c>
      <c r="AI25" s="15">
        <v>29234</v>
      </c>
      <c r="AJ25" s="16">
        <v>1400854</v>
      </c>
      <c r="AK25" s="17">
        <f t="shared" si="112"/>
        <v>47.918656359034003</v>
      </c>
      <c r="AL25" s="18">
        <f t="shared" si="113"/>
        <v>158.40878116208799</v>
      </c>
      <c r="AM25" s="15">
        <v>15861</v>
      </c>
      <c r="AN25" s="16">
        <v>794396</v>
      </c>
      <c r="AO25" s="17">
        <f t="shared" si="114"/>
        <v>50.08486224071622</v>
      </c>
      <c r="AP25" s="18">
        <f t="shared" si="115"/>
        <v>165.56979233260952</v>
      </c>
      <c r="AQ25" s="15">
        <v>10824</v>
      </c>
      <c r="AR25" s="16">
        <v>324500</v>
      </c>
      <c r="AS25" s="17">
        <f t="shared" si="116"/>
        <v>29.979674796747968</v>
      </c>
      <c r="AT25" s="18">
        <f t="shared" si="117"/>
        <v>99.106362845528452</v>
      </c>
      <c r="AU25" s="15">
        <v>28749</v>
      </c>
      <c r="AV25" s="16">
        <v>1146850</v>
      </c>
      <c r="AW25" s="17">
        <f t="shared" si="118"/>
        <v>39.891822324254754</v>
      </c>
      <c r="AX25" s="18">
        <f t="shared" si="119"/>
        <v>131.87379264920517</v>
      </c>
      <c r="AY25" s="15">
        <v>21809</v>
      </c>
      <c r="AZ25" s="16">
        <v>784500</v>
      </c>
      <c r="BA25" s="17">
        <f t="shared" si="120"/>
        <v>35.971387959099452</v>
      </c>
      <c r="BB25" s="18">
        <f t="shared" si="121"/>
        <v>118.91367906093814</v>
      </c>
      <c r="BC25" s="15">
        <v>3467</v>
      </c>
      <c r="BD25" s="16">
        <v>190000</v>
      </c>
      <c r="BE25" s="17">
        <f t="shared" si="122"/>
        <v>54.802422843957309</v>
      </c>
      <c r="BF25" s="18">
        <f t="shared" si="123"/>
        <v>181.16503397750216</v>
      </c>
      <c r="BG25" s="15">
        <v>20851</v>
      </c>
      <c r="BH25" s="16">
        <v>362000</v>
      </c>
      <c r="BI25" s="17">
        <f t="shared" si="124"/>
        <v>17.361277636564193</v>
      </c>
      <c r="BJ25" s="18">
        <f t="shared" si="125"/>
        <v>57.392653275142678</v>
      </c>
      <c r="BK25" s="15">
        <v>9167</v>
      </c>
      <c r="BL25" s="16">
        <v>242131</v>
      </c>
      <c r="BM25" s="17">
        <f t="shared" si="126"/>
        <v>26.413330424348207</v>
      </c>
      <c r="BN25" s="18">
        <f t="shared" si="127"/>
        <v>87.316794686453591</v>
      </c>
      <c r="BO25" s="15">
        <v>18028</v>
      </c>
      <c r="BP25" s="16">
        <v>613890</v>
      </c>
      <c r="BQ25" s="17">
        <f t="shared" si="128"/>
        <v>34.052030175282894</v>
      </c>
      <c r="BR25" s="18">
        <f t="shared" si="129"/>
        <v>112.56869465924117</v>
      </c>
      <c r="BS25" s="15">
        <v>11905</v>
      </c>
      <c r="BT25" s="16">
        <v>234000</v>
      </c>
      <c r="BU25" s="17">
        <f t="shared" si="130"/>
        <v>19.655606887862241</v>
      </c>
      <c r="BV25" s="18">
        <f t="shared" si="131"/>
        <v>64.977212774464505</v>
      </c>
      <c r="BW25" s="15">
        <v>3396</v>
      </c>
      <c r="BX25" s="16">
        <v>64100</v>
      </c>
      <c r="BY25" s="17">
        <f t="shared" si="132"/>
        <v>18.875147232037691</v>
      </c>
      <c r="BZ25" s="18">
        <f t="shared" si="133"/>
        <v>62.397180857479384</v>
      </c>
      <c r="CA25" s="15">
        <v>14435</v>
      </c>
      <c r="CB25" s="16">
        <v>440600</v>
      </c>
      <c r="CC25" s="17">
        <f t="shared" si="134"/>
        <v>30.523034291652234</v>
      </c>
      <c r="CD25" s="18">
        <f t="shared" si="135"/>
        <v>100.9025925785937</v>
      </c>
      <c r="CE25" s="15">
        <v>33051</v>
      </c>
      <c r="CF25" s="16">
        <v>1460171</v>
      </c>
      <c r="CG25" s="17">
        <f t="shared" si="136"/>
        <v>44.179328915917822</v>
      </c>
      <c r="CH25" s="18">
        <f t="shared" si="137"/>
        <v>146.04736814182687</v>
      </c>
      <c r="CI25" s="15">
        <v>15987</v>
      </c>
      <c r="CJ25" s="16">
        <v>433798</v>
      </c>
      <c r="CK25" s="17">
        <f t="shared" si="138"/>
        <v>27.134421717645587</v>
      </c>
      <c r="CL25" s="18">
        <f t="shared" si="139"/>
        <v>89.700567553997615</v>
      </c>
      <c r="CM25" s="15">
        <v>11224</v>
      </c>
      <c r="CN25" s="16">
        <v>341686</v>
      </c>
      <c r="CO25" s="17">
        <f t="shared" si="140"/>
        <v>30.442444761225943</v>
      </c>
      <c r="CP25" s="18">
        <f t="shared" si="141"/>
        <v>100.63618090808268</v>
      </c>
      <c r="CQ25" s="15">
        <v>5442</v>
      </c>
      <c r="CR25" s="16">
        <v>201445</v>
      </c>
      <c r="CS25" s="17">
        <f t="shared" si="142"/>
        <v>37.016721793458288</v>
      </c>
      <c r="CT25" s="18">
        <f t="shared" si="143"/>
        <v>122.36932809599412</v>
      </c>
      <c r="CU25" s="15">
        <v>56975</v>
      </c>
      <c r="CV25" s="16">
        <v>3125654</v>
      </c>
      <c r="CW25" s="17">
        <f t="shared" si="144"/>
        <v>54.860096533567351</v>
      </c>
      <c r="CX25" s="18">
        <f t="shared" si="145"/>
        <v>181.35569080243053</v>
      </c>
      <c r="CY25" s="15">
        <v>19206</v>
      </c>
      <c r="CZ25" s="16">
        <v>606890</v>
      </c>
      <c r="DA25" s="17">
        <f t="shared" si="146"/>
        <v>31.598979485577424</v>
      </c>
      <c r="DB25" s="18">
        <f t="shared" si="147"/>
        <v>104.45943619060709</v>
      </c>
      <c r="DC25" s="15">
        <v>18184</v>
      </c>
      <c r="DD25" s="16">
        <v>1719000</v>
      </c>
      <c r="DE25" s="17">
        <f t="shared" si="148"/>
        <v>94.533655961284651</v>
      </c>
      <c r="DF25" s="18">
        <f t="shared" si="149"/>
        <v>312.50795321601407</v>
      </c>
      <c r="DG25" s="15">
        <v>16932</v>
      </c>
      <c r="DH25" s="16">
        <v>636100</v>
      </c>
      <c r="DI25" s="17">
        <f t="shared" si="150"/>
        <v>37.56791873375856</v>
      </c>
      <c r="DJ25" s="18">
        <f t="shared" si="151"/>
        <v>124.19146673942829</v>
      </c>
      <c r="DK25" s="15">
        <v>126628</v>
      </c>
      <c r="DL25" s="16">
        <v>8484650</v>
      </c>
      <c r="DM25" s="17">
        <f t="shared" si="152"/>
        <v>67.004532962693872</v>
      </c>
      <c r="DN25" s="18">
        <f t="shared" si="153"/>
        <v>221.50258804062292</v>
      </c>
      <c r="DO25" s="15">
        <v>8341</v>
      </c>
      <c r="DP25" s="16">
        <v>415100</v>
      </c>
      <c r="DQ25" s="17">
        <f t="shared" si="154"/>
        <v>49.766215082124447</v>
      </c>
      <c r="DR25" s="18">
        <f t="shared" si="155"/>
        <v>164.51641329720658</v>
      </c>
      <c r="DS25" s="15">
        <v>7637</v>
      </c>
      <c r="DT25" s="16">
        <v>373030</v>
      </c>
      <c r="DU25" s="17">
        <f t="shared" si="156"/>
        <v>48.845096241979832</v>
      </c>
      <c r="DV25" s="18">
        <f t="shared" si="157"/>
        <v>161.47139234170484</v>
      </c>
      <c r="DW25" s="15">
        <v>8520</v>
      </c>
      <c r="DX25" s="16">
        <v>306300</v>
      </c>
      <c r="DY25" s="17">
        <f t="shared" si="158"/>
        <v>35.950704225352112</v>
      </c>
      <c r="DZ25" s="18">
        <f t="shared" si="159"/>
        <v>118.84530308169013</v>
      </c>
      <c r="EA25" s="15">
        <v>34834</v>
      </c>
      <c r="EB25" s="16">
        <v>7225000</v>
      </c>
      <c r="EC25" s="17">
        <f t="shared" si="160"/>
        <v>207.41229832921857</v>
      </c>
      <c r="ED25" s="18">
        <f t="shared" si="161"/>
        <v>685.66048952173162</v>
      </c>
      <c r="EE25" s="15">
        <v>14582</v>
      </c>
      <c r="EF25" s="16">
        <v>566477</v>
      </c>
      <c r="EG25" s="17">
        <f t="shared" si="162"/>
        <v>38.847688931559453</v>
      </c>
      <c r="EH25" s="18">
        <f t="shared" si="163"/>
        <v>128.42211201633793</v>
      </c>
      <c r="EI25" s="15">
        <v>19418</v>
      </c>
      <c r="EJ25" s="16">
        <v>532000</v>
      </c>
      <c r="EK25" s="17">
        <f t="shared" si="164"/>
        <v>27.397260273972602</v>
      </c>
      <c r="EL25" s="18">
        <f t="shared" si="165"/>
        <v>90.569455342465744</v>
      </c>
      <c r="EM25" s="15">
        <v>2786</v>
      </c>
      <c r="EN25" s="16">
        <v>118174</v>
      </c>
      <c r="EO25" s="17">
        <f t="shared" si="166"/>
        <v>42.417085427135682</v>
      </c>
      <c r="EP25" s="18">
        <f t="shared" si="167"/>
        <v>140.22176983879399</v>
      </c>
      <c r="EQ25" s="15">
        <v>2351</v>
      </c>
      <c r="ER25" s="16">
        <v>77800</v>
      </c>
      <c r="ES25" s="17">
        <f t="shared" si="168"/>
        <v>33.092301148447469</v>
      </c>
      <c r="ET25" s="18">
        <f t="shared" si="169"/>
        <v>109.39603672309654</v>
      </c>
      <c r="EU25" s="15">
        <v>24121</v>
      </c>
      <c r="EV25" s="16">
        <v>1183001.6875499999</v>
      </c>
      <c r="EW25" s="17">
        <f t="shared" si="170"/>
        <v>49.044471106090128</v>
      </c>
      <c r="EX25" s="18">
        <f t="shared" si="171"/>
        <v>162.13048280078269</v>
      </c>
      <c r="EY25" s="15">
        <v>28099</v>
      </c>
      <c r="EZ25" s="16">
        <v>4589084.49811</v>
      </c>
      <c r="FA25" s="17">
        <f t="shared" si="172"/>
        <v>163.31842763479128</v>
      </c>
      <c r="FB25" s="18">
        <f t="shared" si="173"/>
        <v>539.89562789688978</v>
      </c>
      <c r="FC25" s="15">
        <v>113144</v>
      </c>
      <c r="FD25" s="16">
        <v>7381789.2835600004</v>
      </c>
      <c r="FE25" s="17">
        <f t="shared" si="174"/>
        <v>65.242428087746589</v>
      </c>
      <c r="FF25" s="18">
        <f t="shared" si="175"/>
        <v>215.67744796514273</v>
      </c>
      <c r="FG25" s="15">
        <v>633108</v>
      </c>
      <c r="FH25" s="16">
        <v>58016248.404080003</v>
      </c>
      <c r="FI25" s="17">
        <f t="shared" si="176"/>
        <v>91.637206296682407</v>
      </c>
      <c r="FJ25" s="18">
        <f t="shared" si="177"/>
        <v>302.93291301394299</v>
      </c>
      <c r="FK25" s="15">
        <v>52368</v>
      </c>
      <c r="FL25" s="16">
        <v>2383111.2691899999</v>
      </c>
      <c r="FM25" s="17">
        <f t="shared" si="178"/>
        <v>45.507013236900399</v>
      </c>
      <c r="FN25" s="18">
        <f t="shared" si="179"/>
        <v>150.43640721418836</v>
      </c>
      <c r="FO25" s="15">
        <v>26612</v>
      </c>
      <c r="FP25" s="16">
        <v>1107518.9329599999</v>
      </c>
      <c r="FQ25" s="17">
        <f t="shared" si="180"/>
        <v>41.617275400571167</v>
      </c>
      <c r="FR25" s="18">
        <f t="shared" si="181"/>
        <v>137.57776975415021</v>
      </c>
      <c r="FS25" s="15">
        <v>23571</v>
      </c>
      <c r="FT25" s="16">
        <v>1003249.3828500001</v>
      </c>
      <c r="FU25" s="17">
        <f t="shared" si="182"/>
        <v>42.562868900343645</v>
      </c>
      <c r="FV25" s="18">
        <f t="shared" si="183"/>
        <v>140.70369867526679</v>
      </c>
      <c r="FW25" s="15">
        <v>57960</v>
      </c>
      <c r="FX25" s="16">
        <v>4417246.9462900003</v>
      </c>
      <c r="FY25" s="17">
        <f t="shared" si="184"/>
        <v>76.211990101621808</v>
      </c>
      <c r="FZ25" s="18">
        <f t="shared" si="185"/>
        <v>251.94046284352865</v>
      </c>
      <c r="GA25" s="15">
        <v>184306</v>
      </c>
      <c r="GB25" s="16">
        <v>12921677.364359999</v>
      </c>
      <c r="GC25" s="17">
        <f t="shared" si="90"/>
        <v>70.109911583779152</v>
      </c>
      <c r="GD25" s="18">
        <f t="shared" si="91"/>
        <v>231.76830247817276</v>
      </c>
      <c r="GE25" s="15">
        <v>43686</v>
      </c>
      <c r="GF25" s="16">
        <v>1911065.5699100001</v>
      </c>
      <c r="GG25" s="17">
        <f t="shared" si="92"/>
        <v>43.745492146454247</v>
      </c>
      <c r="GH25" s="18">
        <f t="shared" si="93"/>
        <v>144.61319700482531</v>
      </c>
      <c r="GI25" s="15">
        <v>46017</v>
      </c>
      <c r="GJ25" s="16">
        <v>1868560</v>
      </c>
      <c r="GK25" s="17">
        <f t="shared" si="94"/>
        <v>40.605863050611731</v>
      </c>
      <c r="GL25" s="18">
        <f t="shared" si="95"/>
        <v>134.23425785747006</v>
      </c>
    </row>
    <row r="38" spans="173:173">
      <c r="FQ38" s="30" t="s">
        <v>125</v>
      </c>
    </row>
  </sheetData>
  <phoneticPr fontId="5"/>
  <hyperlinks>
    <hyperlink ref="FQ38" r:id="rId1" xr:uid="{25B60CD4-0B42-4699-9DDB-921986972757}"/>
  </hyperlinks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224DE-09EC-4F2A-8AE8-64C911FE782B}">
  <dimension ref="A1:AZ42"/>
  <sheetViews>
    <sheetView topLeftCell="AP20" zoomScale="85" zoomScaleNormal="85" workbookViewId="0">
      <selection activeCell="AW39" sqref="AW39"/>
    </sheetView>
  </sheetViews>
  <sheetFormatPr defaultColWidth="8.69921875" defaultRowHeight="18"/>
  <cols>
    <col min="1" max="1" width="2.796875" style="2" customWidth="1"/>
    <col min="2" max="2" width="24.19921875" style="2" customWidth="1"/>
    <col min="3" max="3" width="9.296875" style="2" customWidth="1"/>
    <col min="4" max="4" width="14.296875" style="22" customWidth="1"/>
    <col min="5" max="5" width="8.796875" customWidth="1"/>
    <col min="6" max="48" width="8.69921875" style="2"/>
    <col min="49" max="51" width="10.09765625" style="2" customWidth="1"/>
    <col min="52" max="16384" width="8.69921875" style="2"/>
  </cols>
  <sheetData>
    <row r="1" spans="1:45" ht="19.8">
      <c r="A1" s="1" t="s">
        <v>9</v>
      </c>
    </row>
    <row r="2" spans="1:45" s="19" customFormat="1">
      <c r="C2" s="19">
        <v>2015</v>
      </c>
      <c r="D2" s="22"/>
      <c r="F2" s="19" t="s">
        <v>41</v>
      </c>
      <c r="I2" s="19" t="s">
        <v>40</v>
      </c>
      <c r="L2" s="19" t="s">
        <v>39</v>
      </c>
      <c r="O2" s="19" t="s">
        <v>38</v>
      </c>
      <c r="R2" s="19" t="s">
        <v>37</v>
      </c>
      <c r="U2" s="19" t="s">
        <v>36</v>
      </c>
      <c r="X2" s="19" t="s">
        <v>35</v>
      </c>
      <c r="AA2" s="19" t="s">
        <v>34</v>
      </c>
      <c r="AD2" s="19" t="s">
        <v>33</v>
      </c>
      <c r="AG2" s="19" t="s">
        <v>32</v>
      </c>
      <c r="AJ2" s="19" t="s">
        <v>31</v>
      </c>
      <c r="AM2" s="19" t="s">
        <v>30</v>
      </c>
      <c r="AO2" s="19" t="s">
        <v>53</v>
      </c>
      <c r="AP2" s="19" t="s">
        <v>29</v>
      </c>
      <c r="AQ2" s="19" t="s">
        <v>54</v>
      </c>
      <c r="AR2" s="19" t="s">
        <v>55</v>
      </c>
      <c r="AS2" s="19" t="s">
        <v>28</v>
      </c>
    </row>
    <row r="3" spans="1:45">
      <c r="B3" s="2" t="s">
        <v>0</v>
      </c>
      <c r="C3" s="20">
        <f>鉄骨鉄筋コンクリート造!F5</f>
        <v>129.26743840259681</v>
      </c>
      <c r="F3" s="20">
        <f>鉄骨鉄筋コンクリート造!J5</f>
        <v>160.57303606233953</v>
      </c>
      <c r="G3" s="20"/>
      <c r="H3" s="20"/>
      <c r="I3" s="20">
        <f>鉄骨鉄筋コンクリート造!N5</f>
        <v>119.90207907479659</v>
      </c>
      <c r="J3" s="20"/>
      <c r="K3" s="20"/>
      <c r="L3" s="20">
        <f>鉄骨鉄筋コンクリート造!R5</f>
        <v>51.572374755808823</v>
      </c>
      <c r="M3" s="20"/>
      <c r="N3" s="20"/>
      <c r="O3" s="20">
        <f>鉄骨鉄筋コンクリート造!V5</f>
        <v>132.69801993708202</v>
      </c>
      <c r="P3" s="20"/>
      <c r="Q3" s="20"/>
      <c r="R3" s="20">
        <f>鉄骨鉄筋コンクリート造!Z5</f>
        <v>142.14603865999621</v>
      </c>
      <c r="S3" s="20"/>
      <c r="T3" s="20"/>
      <c r="U3" s="20">
        <f>鉄骨鉄筋コンクリート造!AD5</f>
        <v>207.65723736826436</v>
      </c>
      <c r="V3" s="20"/>
      <c r="W3" s="20"/>
      <c r="X3" s="20">
        <f>鉄骨鉄筋コンクリート造!AH5</f>
        <v>169.89396437942233</v>
      </c>
      <c r="Y3" s="20"/>
      <c r="Z3" s="20"/>
      <c r="AA3" s="20">
        <f>鉄骨鉄筋コンクリート造!AL5</f>
        <v>207.6289626975379</v>
      </c>
      <c r="AB3" s="20"/>
      <c r="AC3" s="20"/>
      <c r="AD3" s="20" t="e">
        <f>鉄骨鉄筋コンクリート造!AP5</f>
        <v>#DIV/0!</v>
      </c>
      <c r="AE3" s="20"/>
      <c r="AF3" s="20"/>
      <c r="AG3" s="20">
        <f>鉄骨鉄筋コンクリート造!AT5</f>
        <v>179.37951706549461</v>
      </c>
      <c r="AH3" s="20"/>
      <c r="AI3" s="20"/>
      <c r="AJ3" s="20">
        <f>鉄骨鉄筋コンクリート造!AX5</f>
        <v>202.12027174763406</v>
      </c>
      <c r="AK3" s="20"/>
      <c r="AL3" s="20"/>
      <c r="AM3" s="20">
        <f>鉄骨鉄筋コンクリート造!BB5</f>
        <v>179.49930368810809</v>
      </c>
      <c r="AN3" s="20"/>
      <c r="AO3" s="20"/>
      <c r="AP3" s="20">
        <f>鉄骨鉄筋コンクリート造!BF5</f>
        <v>302.86604326025281</v>
      </c>
      <c r="AQ3" s="20"/>
      <c r="AR3" s="20"/>
      <c r="AS3" s="20">
        <f>鉄骨鉄筋コンクリート造!BJ5</f>
        <v>159.86164904241448</v>
      </c>
    </row>
    <row r="4" spans="1:45">
      <c r="B4" s="2" t="s">
        <v>1</v>
      </c>
      <c r="C4" s="20">
        <f>鉄骨鉄筋コンクリート造!F6</f>
        <v>82.501367622358998</v>
      </c>
      <c r="F4" s="20">
        <f>鉄骨鉄筋コンクリート造!J6</f>
        <v>196.38327445544556</v>
      </c>
      <c r="G4" s="20"/>
      <c r="H4" s="20"/>
      <c r="I4" s="20">
        <f>鉄骨鉄筋コンクリート造!N6</f>
        <v>41.786609662921343</v>
      </c>
      <c r="J4" s="20"/>
      <c r="K4" s="20"/>
      <c r="L4" s="20">
        <f>鉄骨鉄筋コンクリート造!R6</f>
        <v>56.071941291438065</v>
      </c>
      <c r="M4" s="20"/>
      <c r="N4" s="20"/>
      <c r="O4" s="20">
        <f>鉄骨鉄筋コンクリート造!V6</f>
        <v>27.686642546063648</v>
      </c>
      <c r="P4" s="20"/>
      <c r="Q4" s="20"/>
      <c r="R4" s="20">
        <f>鉄骨鉄筋コンクリート造!Z6</f>
        <v>101.95573553580763</v>
      </c>
      <c r="S4" s="20"/>
      <c r="T4" s="20"/>
      <c r="U4" s="20" t="e">
        <f>鉄骨鉄筋コンクリート造!AD6</f>
        <v>#DIV/0!</v>
      </c>
      <c r="V4" s="20"/>
      <c r="W4" s="20"/>
      <c r="X4" s="20">
        <f>鉄骨鉄筋コンクリート造!AH6</f>
        <v>320.95001165048546</v>
      </c>
      <c r="Y4" s="20"/>
      <c r="Z4" s="20"/>
      <c r="AA4" s="20" t="e">
        <f>鉄骨鉄筋コンクリート造!AL6</f>
        <v>#DIV/0!</v>
      </c>
      <c r="AB4" s="20"/>
      <c r="AC4" s="20"/>
      <c r="AD4" s="20" t="e">
        <f>鉄骨鉄筋コンクリート造!AP6</f>
        <v>#DIV/0!</v>
      </c>
      <c r="AE4" s="20"/>
      <c r="AF4" s="20"/>
      <c r="AG4" s="20">
        <f>鉄骨鉄筋コンクリート造!AT6</f>
        <v>1.1599246035087718</v>
      </c>
      <c r="AH4" s="20"/>
      <c r="AI4" s="20"/>
      <c r="AJ4" s="20">
        <f>鉄骨鉄筋コンクリート造!AX6</f>
        <v>218.44029494584362</v>
      </c>
      <c r="AK4" s="20"/>
      <c r="AL4" s="20"/>
      <c r="AM4" s="20">
        <f>鉄骨鉄筋コンクリート造!BB6</f>
        <v>45.454545400000001</v>
      </c>
      <c r="AN4" s="20"/>
      <c r="AO4" s="20"/>
      <c r="AP4" s="20" t="e">
        <f>鉄骨鉄筋コンクリート造!BF6</f>
        <v>#DIV/0!</v>
      </c>
      <c r="AQ4" s="20"/>
      <c r="AR4" s="20"/>
      <c r="AS4" s="20">
        <f>鉄骨鉄筋コンクリート造!BJ6</f>
        <v>95.542922543352589</v>
      </c>
    </row>
    <row r="5" spans="1:45">
      <c r="B5" s="2" t="s">
        <v>2</v>
      </c>
      <c r="C5" s="20">
        <f>鉄骨鉄筋コンクリート造!F7</f>
        <v>72.888871388320567</v>
      </c>
      <c r="F5" s="20">
        <f>鉄骨鉄筋コンクリート造!J7</f>
        <v>153.91379128590097</v>
      </c>
      <c r="G5" s="20"/>
      <c r="H5" s="20"/>
      <c r="I5" s="20">
        <f>鉄骨鉄筋コンクリート造!N7</f>
        <v>227.44888550524138</v>
      </c>
      <c r="J5" s="20"/>
      <c r="K5" s="20"/>
      <c r="L5" s="20">
        <f>鉄骨鉄筋コンクリート造!R7</f>
        <v>61.218242962962961</v>
      </c>
      <c r="M5" s="20"/>
      <c r="N5" s="20"/>
      <c r="O5" s="20" t="e">
        <f>鉄骨鉄筋コンクリート造!V7</f>
        <v>#DIV/0!</v>
      </c>
      <c r="P5" s="20"/>
      <c r="Q5" s="20"/>
      <c r="R5" s="20">
        <f>鉄骨鉄筋コンクリート造!Z7</f>
        <v>67.384546752862633</v>
      </c>
      <c r="S5" s="20"/>
      <c r="T5" s="20"/>
      <c r="U5" s="20" t="e">
        <f>鉄骨鉄筋コンクリート造!AD7</f>
        <v>#DIV/0!</v>
      </c>
      <c r="V5" s="20"/>
      <c r="W5" s="20"/>
      <c r="X5" s="20">
        <f>鉄骨鉄筋コンクリート造!AH7</f>
        <v>46.10957735506382</v>
      </c>
      <c r="Y5" s="20"/>
      <c r="Z5" s="20"/>
      <c r="AA5" s="20" t="e">
        <f>鉄骨鉄筋コンクリート造!AL7</f>
        <v>#DIV/0!</v>
      </c>
      <c r="AB5" s="20"/>
      <c r="AC5" s="20"/>
      <c r="AD5" s="20">
        <f>鉄骨鉄筋コンクリート造!AP7</f>
        <v>151.57446565964912</v>
      </c>
      <c r="AE5" s="20"/>
      <c r="AF5" s="20"/>
      <c r="AG5" s="20" t="e">
        <f>鉄骨鉄筋コンクリート造!AT7</f>
        <v>#DIV/0!</v>
      </c>
      <c r="AH5" s="20"/>
      <c r="AI5" s="20"/>
      <c r="AJ5" s="20">
        <f>鉄骨鉄筋コンクリート造!AX7</f>
        <v>197.91068875812311</v>
      </c>
      <c r="AK5" s="20"/>
      <c r="AL5" s="20"/>
      <c r="AM5" s="20">
        <f>鉄骨鉄筋コンクリート造!BB7</f>
        <v>109.58403712707182</v>
      </c>
      <c r="AN5" s="20"/>
      <c r="AO5" s="20"/>
      <c r="AP5" s="20" t="e">
        <f>鉄骨鉄筋コンクリート造!BF7</f>
        <v>#DIV/0!</v>
      </c>
      <c r="AQ5" s="20"/>
      <c r="AR5" s="20"/>
      <c r="AS5" s="20">
        <f>鉄骨鉄筋コンクリート造!BJ7</f>
        <v>211.13591094890509</v>
      </c>
    </row>
    <row r="6" spans="1:45">
      <c r="B6" s="2" t="s">
        <v>3</v>
      </c>
      <c r="C6" s="20">
        <f>鉄骨鉄筋コンクリート造!F8</f>
        <v>34.435077960198704</v>
      </c>
      <c r="F6" s="20">
        <f>鉄骨鉄筋コンクリート造!J8</f>
        <v>44.056050439225061</v>
      </c>
      <c r="G6" s="20"/>
      <c r="H6" s="20"/>
      <c r="I6" s="20">
        <f>鉄骨鉄筋コンクリート造!N8</f>
        <v>38.169890045360823</v>
      </c>
      <c r="J6" s="20"/>
      <c r="K6" s="20"/>
      <c r="L6" s="20">
        <f>鉄骨鉄筋コンクリート造!R8</f>
        <v>49.30039289065801</v>
      </c>
      <c r="M6" s="20"/>
      <c r="N6" s="20"/>
      <c r="O6" s="20">
        <f>鉄骨鉄筋コンクリート造!V8</f>
        <v>44.555349462850103</v>
      </c>
      <c r="P6" s="20"/>
      <c r="Q6" s="20"/>
      <c r="R6" s="20">
        <f>鉄骨鉄筋コンクリート造!Z8</f>
        <v>34.212611755616443</v>
      </c>
      <c r="S6" s="20"/>
      <c r="T6" s="20"/>
      <c r="U6" s="20">
        <f>鉄骨鉄筋コンクリート造!AD8</f>
        <v>66.971205541759247</v>
      </c>
      <c r="V6" s="20"/>
      <c r="W6" s="20"/>
      <c r="X6" s="20">
        <f>鉄骨鉄筋コンクリート造!AH8</f>
        <v>50.044246238582595</v>
      </c>
      <c r="Y6" s="20"/>
      <c r="Z6" s="20"/>
      <c r="AA6" s="20" t="e">
        <f>鉄骨鉄筋コンクリート造!AL8</f>
        <v>#DIV/0!</v>
      </c>
      <c r="AB6" s="20"/>
      <c r="AC6" s="20"/>
      <c r="AD6" s="20">
        <f>鉄骨鉄筋コンクリート造!AP8</f>
        <v>81.670227817867897</v>
      </c>
      <c r="AE6" s="20"/>
      <c r="AF6" s="20"/>
      <c r="AG6" s="20">
        <f>鉄骨鉄筋コンクリート造!AT8</f>
        <v>36.063110399999999</v>
      </c>
      <c r="AH6" s="20"/>
      <c r="AI6" s="20"/>
      <c r="AJ6" s="20">
        <f>鉄骨鉄筋コンクリート造!AX8</f>
        <v>120.50917829771895</v>
      </c>
      <c r="AK6" s="20"/>
      <c r="AL6" s="20"/>
      <c r="AM6" s="20">
        <f>鉄骨鉄筋コンクリート造!BB8</f>
        <v>135.85418301369862</v>
      </c>
      <c r="AN6" s="20"/>
      <c r="AO6" s="20"/>
      <c r="AP6" s="20">
        <f>鉄骨鉄筋コンクリート造!BF8</f>
        <v>298.04817970212764</v>
      </c>
      <c r="AQ6" s="20"/>
      <c r="AR6" s="20"/>
      <c r="AS6" s="20">
        <f>鉄骨鉄筋コンクリート造!BJ8</f>
        <v>103.23104179638243</v>
      </c>
    </row>
    <row r="7" spans="1:45">
      <c r="B7" s="2" t="s">
        <v>4</v>
      </c>
      <c r="C7" s="20">
        <f>鉄骨鉄筋コンクリート造!F9</f>
        <v>104.21087549943924</v>
      </c>
      <c r="F7" s="20">
        <f>鉄骨鉄筋コンクリート造!J9</f>
        <v>148.88882716962374</v>
      </c>
      <c r="G7" s="20"/>
      <c r="H7" s="20"/>
      <c r="I7" s="20">
        <f>鉄骨鉄筋コンクリート造!N9</f>
        <v>108.84958710942972</v>
      </c>
      <c r="J7" s="20"/>
      <c r="K7" s="20"/>
      <c r="L7" s="20">
        <f>鉄骨鉄筋コンクリート造!R9</f>
        <v>144.57840017493987</v>
      </c>
      <c r="M7" s="20"/>
      <c r="N7" s="20"/>
      <c r="O7" s="20">
        <f>鉄骨鉄筋コンクリート造!V9</f>
        <v>102.3666415</v>
      </c>
      <c r="P7" s="20"/>
      <c r="Q7" s="20"/>
      <c r="R7" s="20">
        <f>鉄骨鉄筋コンクリート造!Z9</f>
        <v>211.70180251706651</v>
      </c>
      <c r="S7" s="20"/>
      <c r="T7" s="20"/>
      <c r="U7" s="20">
        <f>鉄骨鉄筋コンクリート造!AD9</f>
        <v>84.045384406779661</v>
      </c>
      <c r="V7" s="20"/>
      <c r="W7" s="20"/>
      <c r="X7" s="20">
        <f>鉄骨鉄筋コンクリート造!AH9</f>
        <v>127.70272315498156</v>
      </c>
      <c r="Y7" s="20"/>
      <c r="Z7" s="20"/>
      <c r="AA7" s="20">
        <f>鉄骨鉄筋コンクリート造!AL9</f>
        <v>184.40485112571429</v>
      </c>
      <c r="AB7" s="20"/>
      <c r="AC7" s="20"/>
      <c r="AD7" s="20">
        <f>鉄骨鉄筋コンクリート造!AP9</f>
        <v>90.028023859182994</v>
      </c>
      <c r="AE7" s="20"/>
      <c r="AF7" s="20"/>
      <c r="AG7" s="20">
        <f>鉄骨鉄筋コンクリート造!AT9</f>
        <v>151.63302203131803</v>
      </c>
      <c r="AH7" s="20"/>
      <c r="AI7" s="20"/>
      <c r="AJ7" s="20">
        <f>鉄骨鉄筋コンクリート造!AX9</f>
        <v>228.38503039028001</v>
      </c>
      <c r="AK7" s="20"/>
      <c r="AL7" s="20"/>
      <c r="AM7" s="20">
        <f>鉄骨鉄筋コンクリート造!BB9</f>
        <v>132.70915776796468</v>
      </c>
      <c r="AN7" s="20"/>
      <c r="AO7" s="20"/>
      <c r="AP7" s="20" t="e">
        <f>鉄骨鉄筋コンクリート造!BF9</f>
        <v>#DIV/0!</v>
      </c>
      <c r="AQ7" s="20"/>
      <c r="AR7" s="20"/>
      <c r="AS7" s="20">
        <f>鉄骨鉄筋コンクリート造!BJ9</f>
        <v>114.60655402711571</v>
      </c>
    </row>
    <row r="8" spans="1:45">
      <c r="B8" s="2" t="s">
        <v>5</v>
      </c>
      <c r="C8" s="20">
        <f>鉄骨鉄筋コンクリート造!F10</f>
        <v>78.944645960443751</v>
      </c>
      <c r="F8" s="20">
        <f>鉄骨鉄筋コンクリート造!J10</f>
        <v>116.38449232502464</v>
      </c>
      <c r="G8" s="20"/>
      <c r="H8" s="20"/>
      <c r="I8" s="20" t="e">
        <f>鉄骨鉄筋コンクリート造!N10</f>
        <v>#DIV/0!</v>
      </c>
      <c r="J8" s="20"/>
      <c r="K8" s="20"/>
      <c r="L8" s="20" t="e">
        <f>鉄骨鉄筋コンクリート造!R10</f>
        <v>#DIV/0!</v>
      </c>
      <c r="M8" s="20"/>
      <c r="N8" s="20"/>
      <c r="O8" s="20">
        <f>鉄骨鉄筋コンクリート造!V10</f>
        <v>140.7865406465182</v>
      </c>
      <c r="P8" s="20"/>
      <c r="Q8" s="20"/>
      <c r="R8" s="20" t="e">
        <f>鉄骨鉄筋コンクリート造!Z10</f>
        <v>#DIV/0!</v>
      </c>
      <c r="S8" s="20"/>
      <c r="T8" s="20"/>
      <c r="U8" s="20">
        <f>鉄骨鉄筋コンクリート造!AD10</f>
        <v>126.54654464075384</v>
      </c>
      <c r="V8" s="20"/>
      <c r="W8" s="20"/>
      <c r="X8" s="20">
        <f>鉄骨鉄筋コンクリート造!AH10</f>
        <v>1418.7918969957082</v>
      </c>
      <c r="Y8" s="20"/>
      <c r="Z8" s="20"/>
      <c r="AA8" s="20" t="e">
        <f>鉄骨鉄筋コンクリート造!AL10</f>
        <v>#DIV/0!</v>
      </c>
      <c r="AB8" s="20"/>
      <c r="AC8" s="20"/>
      <c r="AD8" s="20" t="e">
        <f>鉄骨鉄筋コンクリート造!AP10</f>
        <v>#DIV/0!</v>
      </c>
      <c r="AE8" s="20"/>
      <c r="AF8" s="20"/>
      <c r="AG8" s="20" t="e">
        <f>鉄骨鉄筋コンクリート造!AT10</f>
        <v>#DIV/0!</v>
      </c>
      <c r="AH8" s="20"/>
      <c r="AI8" s="20"/>
      <c r="AJ8" s="20" t="e">
        <f>鉄骨鉄筋コンクリート造!AX10</f>
        <v>#DIV/0!</v>
      </c>
      <c r="AK8" s="20"/>
      <c r="AL8" s="20"/>
      <c r="AM8" s="20" t="e">
        <f>鉄骨鉄筋コンクリート造!BB10</f>
        <v>#DIV/0!</v>
      </c>
      <c r="AN8" s="20"/>
      <c r="AO8" s="20"/>
      <c r="AP8" s="20" t="e">
        <f>鉄骨鉄筋コンクリート造!BF10</f>
        <v>#DIV/0!</v>
      </c>
      <c r="AQ8" s="20"/>
      <c r="AR8" s="20"/>
      <c r="AS8" s="20">
        <f>鉄骨鉄筋コンクリート造!BJ10</f>
        <v>282.54573675213675</v>
      </c>
    </row>
    <row r="9" spans="1:45">
      <c r="B9" s="2" t="s">
        <v>6</v>
      </c>
      <c r="C9" s="20">
        <f>鉄骨鉄筋コンクリート造!F11</f>
        <v>112.87371823981732</v>
      </c>
      <c r="F9" s="20">
        <f>鉄骨鉄筋コンクリート造!J11</f>
        <v>136.231959051453</v>
      </c>
      <c r="G9" s="20"/>
      <c r="H9" s="20"/>
      <c r="I9" s="20">
        <f>鉄骨鉄筋コンクリート造!N11</f>
        <v>97.882249100889766</v>
      </c>
      <c r="J9" s="20"/>
      <c r="K9" s="20"/>
      <c r="L9" s="20">
        <f>鉄骨鉄筋コンクリート造!R11</f>
        <v>102.87477703588603</v>
      </c>
      <c r="M9" s="20"/>
      <c r="N9" s="20"/>
      <c r="O9" s="20">
        <f>鉄骨鉄筋コンクリート造!V11</f>
        <v>206.66263461434153</v>
      </c>
      <c r="P9" s="20"/>
      <c r="Q9" s="20"/>
      <c r="R9" s="20">
        <f>鉄骨鉄筋コンクリート造!Z11</f>
        <v>173.82536309316498</v>
      </c>
      <c r="S9" s="20"/>
      <c r="T9" s="20"/>
      <c r="U9" s="20">
        <f>鉄骨鉄筋コンクリート造!AD11</f>
        <v>103.37149232222995</v>
      </c>
      <c r="V9" s="20"/>
      <c r="W9" s="20"/>
      <c r="X9" s="20">
        <f>鉄骨鉄筋コンクリート造!AH11</f>
        <v>134.4735761632638</v>
      </c>
      <c r="Y9" s="20"/>
      <c r="Z9" s="20"/>
      <c r="AA9" s="20">
        <f>鉄骨鉄筋コンクリート造!AL11</f>
        <v>242.32434914317204</v>
      </c>
      <c r="AB9" s="20"/>
      <c r="AC9" s="20"/>
      <c r="AD9" s="20">
        <f>鉄骨鉄筋コンクリート造!AP11</f>
        <v>145.61482577066667</v>
      </c>
      <c r="AE9" s="20"/>
      <c r="AF9" s="20"/>
      <c r="AG9" s="20">
        <f>鉄骨鉄筋コンクリート造!AT11</f>
        <v>47.68458432909091</v>
      </c>
      <c r="AH9" s="20"/>
      <c r="AI9" s="20"/>
      <c r="AJ9" s="20">
        <f>鉄骨鉄筋コンクリート造!AX11</f>
        <v>341.23272646183904</v>
      </c>
      <c r="AK9" s="20"/>
      <c r="AL9" s="20"/>
      <c r="AM9" s="20">
        <f>鉄骨鉄筋コンクリート造!BB11</f>
        <v>336.85006929567265</v>
      </c>
      <c r="AN9" s="20"/>
      <c r="AO9" s="20"/>
      <c r="AP9" s="20">
        <f>鉄骨鉄筋コンクリート造!BF11</f>
        <v>245.83369395855172</v>
      </c>
      <c r="AQ9" s="20"/>
      <c r="AR9" s="20"/>
      <c r="AS9" s="20">
        <f>鉄骨鉄筋コンクリート造!BJ11</f>
        <v>75.370437625724747</v>
      </c>
    </row>
    <row r="11" spans="1:45" ht="19.8">
      <c r="A11" s="1" t="s">
        <v>13</v>
      </c>
    </row>
    <row r="12" spans="1:45" s="19" customFormat="1">
      <c r="C12" s="19">
        <v>2015</v>
      </c>
      <c r="D12" s="22"/>
      <c r="F12" s="19" t="s">
        <v>41</v>
      </c>
      <c r="I12" s="19" t="s">
        <v>40</v>
      </c>
      <c r="L12" s="19" t="s">
        <v>39</v>
      </c>
      <c r="O12" s="19" t="s">
        <v>38</v>
      </c>
      <c r="R12" s="19" t="s">
        <v>37</v>
      </c>
      <c r="U12" s="19" t="s">
        <v>36</v>
      </c>
      <c r="X12" s="19" t="s">
        <v>35</v>
      </c>
      <c r="AA12" s="19" t="s">
        <v>34</v>
      </c>
      <c r="AD12" s="19" t="s">
        <v>33</v>
      </c>
      <c r="AG12" s="19" t="s">
        <v>32</v>
      </c>
      <c r="AJ12" s="19" t="s">
        <v>31</v>
      </c>
      <c r="AM12" s="19" t="s">
        <v>30</v>
      </c>
      <c r="AO12" s="19" t="s">
        <v>53</v>
      </c>
      <c r="AP12" s="19" t="s">
        <v>29</v>
      </c>
      <c r="AQ12" s="19" t="s">
        <v>54</v>
      </c>
      <c r="AR12" s="19" t="s">
        <v>55</v>
      </c>
      <c r="AS12" s="19" t="s">
        <v>28</v>
      </c>
    </row>
    <row r="13" spans="1:45">
      <c r="B13" s="2" t="s">
        <v>0</v>
      </c>
      <c r="C13" s="20">
        <f>鉄筋コンクリート造!F5</f>
        <v>105.04127187499796</v>
      </c>
      <c r="F13" s="20">
        <f>鉄筋コンクリート造!J5</f>
        <v>106.82504201379905</v>
      </c>
      <c r="G13" s="20"/>
      <c r="H13" s="20"/>
      <c r="I13" s="20">
        <f>鉄筋コンクリート造!N5</f>
        <v>145.80413134007512</v>
      </c>
      <c r="J13" s="20"/>
      <c r="K13" s="20"/>
      <c r="L13" s="20">
        <f>鉄筋コンクリート造!R5</f>
        <v>125.63505392572769</v>
      </c>
      <c r="M13" s="20"/>
      <c r="N13" s="20"/>
      <c r="O13" s="20">
        <f>鉄筋コンクリート造!V5</f>
        <v>139.36721429993369</v>
      </c>
      <c r="P13" s="20"/>
      <c r="Q13" s="20"/>
      <c r="R13" s="20">
        <f>鉄筋コンクリート造!Z5</f>
        <v>141.52106146973068</v>
      </c>
      <c r="S13" s="20"/>
      <c r="T13" s="20"/>
      <c r="U13" s="20">
        <f>鉄筋コンクリート造!AD5</f>
        <v>145.2333368869958</v>
      </c>
      <c r="V13" s="20"/>
      <c r="W13" s="20"/>
      <c r="X13" s="20">
        <f>鉄筋コンクリート造!AH5</f>
        <v>176.05201065403239</v>
      </c>
      <c r="Y13" s="20"/>
      <c r="Z13" s="20"/>
      <c r="AA13" s="20">
        <f>鉄筋コンクリート造!AL5</f>
        <v>189.44025821146937</v>
      </c>
      <c r="AB13" s="20"/>
      <c r="AC13" s="20"/>
      <c r="AD13" s="20">
        <f>鉄筋コンクリート造!AP5</f>
        <v>202.55811734378133</v>
      </c>
      <c r="AE13" s="20"/>
      <c r="AF13" s="20"/>
      <c r="AG13" s="20">
        <f>鉄筋コンクリート造!AT5</f>
        <v>168.67667823117239</v>
      </c>
      <c r="AH13" s="20"/>
      <c r="AI13" s="20"/>
      <c r="AJ13" s="20">
        <f>鉄筋コンクリート造!AX5</f>
        <v>191.56699784665753</v>
      </c>
      <c r="AK13" s="20"/>
      <c r="AL13" s="20"/>
      <c r="AM13" s="20">
        <f>鉄筋コンクリート造!BB5</f>
        <v>227.04365712498927</v>
      </c>
      <c r="AN13" s="20"/>
      <c r="AO13" s="20"/>
      <c r="AP13" s="20">
        <f>鉄筋コンクリート造!BF5</f>
        <v>194.54288051160867</v>
      </c>
      <c r="AQ13" s="20"/>
      <c r="AR13" s="20"/>
      <c r="AS13" s="20">
        <f>鉄筋コンクリート造!BJ5</f>
        <v>117.73554922461025</v>
      </c>
    </row>
    <row r="14" spans="1:45" s="23" customFormat="1">
      <c r="B14" s="24" t="s">
        <v>44</v>
      </c>
      <c r="C14" s="25">
        <v>100</v>
      </c>
      <c r="D14" s="24"/>
      <c r="F14" s="25">
        <f>F13/$C$13*100</f>
        <v>101.69816121507347</v>
      </c>
      <c r="G14" s="25"/>
      <c r="H14" s="25"/>
      <c r="I14" s="25">
        <f t="shared" ref="I14:AS14" si="0">I13/$C$13*100</f>
        <v>138.8065174168741</v>
      </c>
      <c r="J14" s="25"/>
      <c r="K14" s="25"/>
      <c r="L14" s="25">
        <f t="shared" si="0"/>
        <v>119.60541954902916</v>
      </c>
      <c r="M14" s="25"/>
      <c r="N14" s="25"/>
      <c r="O14" s="25">
        <f t="shared" si="0"/>
        <v>132.67852893649703</v>
      </c>
      <c r="P14" s="25"/>
      <c r="Q14" s="25"/>
      <c r="R14" s="25">
        <f t="shared" si="0"/>
        <v>134.7290059836144</v>
      </c>
      <c r="S14" s="25"/>
      <c r="T14" s="25"/>
      <c r="U14" s="25">
        <f t="shared" si="0"/>
        <v>138.26311724388441</v>
      </c>
      <c r="V14" s="25"/>
      <c r="W14" s="25"/>
      <c r="X14" s="25">
        <f t="shared" si="0"/>
        <v>167.60270273910925</v>
      </c>
      <c r="Y14" s="25"/>
      <c r="Z14" s="25"/>
      <c r="AA14" s="25">
        <f t="shared" si="0"/>
        <v>180.34840480312212</v>
      </c>
      <c r="AB14" s="25"/>
      <c r="AC14" s="25"/>
      <c r="AD14" s="25">
        <f t="shared" si="0"/>
        <v>192.8366952609172</v>
      </c>
      <c r="AE14" s="25"/>
      <c r="AF14" s="25"/>
      <c r="AG14" s="25">
        <f t="shared" si="0"/>
        <v>160.58133647877219</v>
      </c>
      <c r="AH14" s="25"/>
      <c r="AI14" s="25"/>
      <c r="AJ14" s="25">
        <f t="shared" si="0"/>
        <v>182.37307529427821</v>
      </c>
      <c r="AK14" s="25"/>
      <c r="AL14" s="25"/>
      <c r="AM14" s="25">
        <f t="shared" si="0"/>
        <v>216.14709444415098</v>
      </c>
      <c r="AN14" s="25"/>
      <c r="AO14" s="25"/>
      <c r="AP14" s="25">
        <f t="shared" si="0"/>
        <v>185.20613568266776</v>
      </c>
      <c r="AQ14" s="25"/>
      <c r="AR14" s="25"/>
      <c r="AS14" s="25">
        <f t="shared" si="0"/>
        <v>112.08503774089753</v>
      </c>
    </row>
    <row r="15" spans="1:45">
      <c r="B15" s="2" t="s">
        <v>1</v>
      </c>
      <c r="C15" s="20">
        <f>鉄筋コンクリート造!F6</f>
        <v>80.321847601615318</v>
      </c>
      <c r="F15" s="20">
        <f>鉄筋コンクリート造!J6</f>
        <v>92.284519381103109</v>
      </c>
      <c r="G15" s="20"/>
      <c r="H15" s="20"/>
      <c r="I15" s="20">
        <f>鉄筋コンクリート造!N6</f>
        <v>131.53039138076974</v>
      </c>
      <c r="J15" s="20"/>
      <c r="K15" s="20"/>
      <c r="L15" s="20">
        <f>鉄筋コンクリート造!R6</f>
        <v>83.108597841403508</v>
      </c>
      <c r="M15" s="20"/>
      <c r="N15" s="20"/>
      <c r="O15" s="20">
        <f>鉄筋コンクリート造!V6</f>
        <v>103.07765139145833</v>
      </c>
      <c r="P15" s="20"/>
      <c r="Q15" s="20"/>
      <c r="R15" s="20">
        <f>鉄筋コンクリート造!Z6</f>
        <v>112.92826181099903</v>
      </c>
      <c r="S15" s="20"/>
      <c r="T15" s="20"/>
      <c r="U15" s="20">
        <f>鉄筋コンクリート造!AD6</f>
        <v>101.76276351879079</v>
      </c>
      <c r="V15" s="20"/>
      <c r="W15" s="20"/>
      <c r="X15" s="20">
        <f>鉄筋コンクリート造!AH6</f>
        <v>141.5766483586282</v>
      </c>
      <c r="Y15" s="20"/>
      <c r="Z15" s="20"/>
      <c r="AA15" s="20">
        <f>鉄筋コンクリート造!AL6</f>
        <v>165.05808221538462</v>
      </c>
      <c r="AB15" s="20"/>
      <c r="AC15" s="20"/>
      <c r="AD15" s="20">
        <f>鉄筋コンクリート造!AP6</f>
        <v>202.85269971789876</v>
      </c>
      <c r="AE15" s="20"/>
      <c r="AF15" s="20"/>
      <c r="AG15" s="20">
        <f>鉄筋コンクリート造!AT6</f>
        <v>87.857725829648615</v>
      </c>
      <c r="AH15" s="20"/>
      <c r="AI15" s="20"/>
      <c r="AJ15" s="20">
        <f>鉄筋コンクリート造!AX6</f>
        <v>337.67616385165906</v>
      </c>
      <c r="AK15" s="20"/>
      <c r="AL15" s="20"/>
      <c r="AM15" s="20">
        <f>鉄筋コンクリート造!BB6</f>
        <v>178.56933142286329</v>
      </c>
      <c r="AN15" s="20"/>
      <c r="AO15" s="20"/>
      <c r="AP15" s="20">
        <f>鉄筋コンクリート造!BF6</f>
        <v>156.4128294800702</v>
      </c>
      <c r="AQ15" s="20"/>
      <c r="AR15" s="20"/>
      <c r="AS15" s="20">
        <f>鉄筋コンクリート造!BJ6</f>
        <v>181.79670708510372</v>
      </c>
    </row>
    <row r="16" spans="1:45">
      <c r="B16" s="2" t="s">
        <v>2</v>
      </c>
      <c r="C16" s="20">
        <f>鉄筋コンクリート造!F7</f>
        <v>74.528213318335574</v>
      </c>
      <c r="F16" s="20">
        <f>鉄筋コンクリート造!J7</f>
        <v>29.327891935908482</v>
      </c>
      <c r="G16" s="20"/>
      <c r="H16" s="20"/>
      <c r="I16" s="20">
        <f>鉄筋コンクリート造!N7</f>
        <v>64.256743855485311</v>
      </c>
      <c r="J16" s="20"/>
      <c r="K16" s="20"/>
      <c r="L16" s="20">
        <f>鉄筋コンクリート造!R7</f>
        <v>211.39781675013273</v>
      </c>
      <c r="M16" s="20"/>
      <c r="N16" s="20"/>
      <c r="O16" s="20">
        <f>鉄筋コンクリート造!V7</f>
        <v>69.244812543277916</v>
      </c>
      <c r="P16" s="20"/>
      <c r="Q16" s="20"/>
      <c r="R16" s="20">
        <f>鉄筋コンクリート造!Z7</f>
        <v>75.601560095818542</v>
      </c>
      <c r="S16" s="20"/>
      <c r="T16" s="20"/>
      <c r="U16" s="20">
        <f>鉄筋コンクリート造!AD7</f>
        <v>218.49779016771865</v>
      </c>
      <c r="V16" s="20"/>
      <c r="W16" s="20"/>
      <c r="X16" s="20">
        <f>鉄筋コンクリート造!AH7</f>
        <v>198.78537416666666</v>
      </c>
      <c r="Y16" s="20"/>
      <c r="Z16" s="20"/>
      <c r="AA16" s="20">
        <f>鉄筋コンクリート造!AL7</f>
        <v>499.69551919157897</v>
      </c>
      <c r="AB16" s="20"/>
      <c r="AC16" s="20"/>
      <c r="AD16" s="20">
        <f>鉄筋コンクリート造!AP7</f>
        <v>82.880344852034781</v>
      </c>
      <c r="AE16" s="20"/>
      <c r="AF16" s="20"/>
      <c r="AG16" s="20">
        <f>鉄筋コンクリート造!AT7</f>
        <v>124.9934645357198</v>
      </c>
      <c r="AH16" s="20"/>
      <c r="AI16" s="20"/>
      <c r="AJ16" s="20">
        <f>鉄筋コンクリート造!AX7</f>
        <v>130.71342652172223</v>
      </c>
      <c r="AK16" s="20"/>
      <c r="AL16" s="20"/>
      <c r="AM16" s="20">
        <f>鉄筋コンクリート造!BB7</f>
        <v>89.301753170620827</v>
      </c>
      <c r="AN16" s="20"/>
      <c r="AO16" s="20"/>
      <c r="AP16" s="20">
        <f>鉄筋コンクリート造!BF7</f>
        <v>279.68071764446807</v>
      </c>
      <c r="AQ16" s="20"/>
      <c r="AR16" s="20"/>
      <c r="AS16" s="20">
        <f>鉄筋コンクリート造!BJ7</f>
        <v>297.95200281231985</v>
      </c>
    </row>
    <row r="17" spans="1:48">
      <c r="B17" s="2" t="s">
        <v>3</v>
      </c>
      <c r="C17" s="20">
        <f>鉄筋コンクリート造!F8</f>
        <v>42.900011922448698</v>
      </c>
      <c r="F17" s="20">
        <f>鉄筋コンクリート造!J8</f>
        <v>39.809612207627211</v>
      </c>
      <c r="G17" s="20"/>
      <c r="H17" s="20"/>
      <c r="I17" s="20">
        <f>鉄筋コンクリート造!N8</f>
        <v>35.249033866040378</v>
      </c>
      <c r="J17" s="20"/>
      <c r="K17" s="20"/>
      <c r="L17" s="20">
        <f>鉄筋コンクリート造!R8</f>
        <v>49.312042462052744</v>
      </c>
      <c r="M17" s="20"/>
      <c r="N17" s="20"/>
      <c r="O17" s="20">
        <f>鉄筋コンクリート造!V8</f>
        <v>117.86210824935952</v>
      </c>
      <c r="P17" s="20"/>
      <c r="Q17" s="20"/>
      <c r="R17" s="20">
        <f>鉄筋コンクリート造!Z8</f>
        <v>50.763753435117707</v>
      </c>
      <c r="S17" s="20"/>
      <c r="T17" s="20"/>
      <c r="U17" s="20">
        <f>鉄筋コンクリート造!AD8</f>
        <v>42.876228108156035</v>
      </c>
      <c r="V17" s="20"/>
      <c r="W17" s="20"/>
      <c r="X17" s="20">
        <f>鉄筋コンクリート造!AH8</f>
        <v>52.642565787199246</v>
      </c>
      <c r="Y17" s="20"/>
      <c r="Z17" s="20"/>
      <c r="AA17" s="20">
        <f>鉄筋コンクリート造!AL8</f>
        <v>56.183337756158593</v>
      </c>
      <c r="AB17" s="20"/>
      <c r="AC17" s="20"/>
      <c r="AD17" s="20">
        <f>鉄筋コンクリート造!AP8</f>
        <v>77.865668360135942</v>
      </c>
      <c r="AE17" s="20"/>
      <c r="AF17" s="20"/>
      <c r="AG17" s="20">
        <f>鉄筋コンクリート造!AT8</f>
        <v>57.95603616258326</v>
      </c>
      <c r="AH17" s="20"/>
      <c r="AI17" s="20"/>
      <c r="AJ17" s="20">
        <f>鉄筋コンクリート造!AX8</f>
        <v>72.3235096242136</v>
      </c>
      <c r="AK17" s="20"/>
      <c r="AL17" s="20"/>
      <c r="AM17" s="20">
        <f>鉄筋コンクリート造!BB8</f>
        <v>74.560675740924125</v>
      </c>
      <c r="AN17" s="20"/>
      <c r="AO17" s="20"/>
      <c r="AP17" s="20">
        <f>鉄筋コンクリート造!BF8</f>
        <v>65.487716298124184</v>
      </c>
      <c r="AQ17" s="20"/>
      <c r="AR17" s="20"/>
      <c r="AS17" s="20">
        <f>鉄筋コンクリート造!BJ8</f>
        <v>84.655671652271266</v>
      </c>
    </row>
    <row r="18" spans="1:48">
      <c r="B18" s="2" t="s">
        <v>4</v>
      </c>
      <c r="C18" s="20">
        <f>鉄筋コンクリート造!F9</f>
        <v>90.662415999461103</v>
      </c>
      <c r="F18" s="20">
        <f>鉄筋コンクリート造!J9</f>
        <v>113.03096651504953</v>
      </c>
      <c r="G18" s="20"/>
      <c r="H18" s="20"/>
      <c r="I18" s="20">
        <f>鉄筋コンクリート造!N9</f>
        <v>91.086405254170685</v>
      </c>
      <c r="J18" s="20"/>
      <c r="K18" s="20"/>
      <c r="L18" s="20">
        <f>鉄筋コンクリート造!R9</f>
        <v>122.69076322120694</v>
      </c>
      <c r="M18" s="20"/>
      <c r="N18" s="20"/>
      <c r="O18" s="20">
        <f>鉄筋コンクリート造!V9</f>
        <v>94.068795358020097</v>
      </c>
      <c r="P18" s="20"/>
      <c r="Q18" s="20"/>
      <c r="R18" s="20">
        <f>鉄筋コンクリート造!Z9</f>
        <v>117.72198097241294</v>
      </c>
      <c r="S18" s="20"/>
      <c r="T18" s="20"/>
      <c r="U18" s="20">
        <f>鉄筋コンクリート造!AD9</f>
        <v>150.6997700746293</v>
      </c>
      <c r="V18" s="20"/>
      <c r="W18" s="20"/>
      <c r="X18" s="20">
        <f>鉄筋コンクリート造!AH9</f>
        <v>137.17220901572469</v>
      </c>
      <c r="Y18" s="20"/>
      <c r="Z18" s="20"/>
      <c r="AA18" s="20">
        <f>鉄筋コンクリート造!AL9</f>
        <v>124.91544221925716</v>
      </c>
      <c r="AB18" s="20"/>
      <c r="AC18" s="20"/>
      <c r="AD18" s="20">
        <f>鉄筋コンクリート造!AP9</f>
        <v>110.09044939407767</v>
      </c>
      <c r="AE18" s="20"/>
      <c r="AF18" s="20"/>
      <c r="AG18" s="20">
        <f>鉄筋コンクリート造!AT9</f>
        <v>122.39851494297876</v>
      </c>
      <c r="AH18" s="20"/>
      <c r="AI18" s="20"/>
      <c r="AJ18" s="20">
        <f>鉄筋コンクリート造!AX9</f>
        <v>140.62324828146254</v>
      </c>
      <c r="AK18" s="20"/>
      <c r="AL18" s="20"/>
      <c r="AM18" s="20">
        <f>鉄筋コンクリート造!BB9</f>
        <v>170.62850485780694</v>
      </c>
      <c r="AN18" s="20"/>
      <c r="AO18" s="20"/>
      <c r="AP18" s="20">
        <f>鉄筋コンクリート造!BF9</f>
        <v>152.72476824614719</v>
      </c>
      <c r="AQ18" s="20"/>
      <c r="AR18" s="20"/>
      <c r="AS18" s="20">
        <f>鉄筋コンクリート造!BJ9</f>
        <v>150.44872205234049</v>
      </c>
    </row>
    <row r="19" spans="1:48">
      <c r="B19" s="2" t="s">
        <v>5</v>
      </c>
      <c r="C19" s="20">
        <f>鉄筋コンクリート造!F10</f>
        <v>94.404503755175043</v>
      </c>
      <c r="F19" s="20">
        <f>鉄筋コンクリート造!J10</f>
        <v>110.50588949847095</v>
      </c>
      <c r="G19" s="20"/>
      <c r="H19" s="20"/>
      <c r="I19" s="20">
        <f>鉄筋コンクリート造!N10</f>
        <v>87.361256104642308</v>
      </c>
      <c r="J19" s="20"/>
      <c r="K19" s="20"/>
      <c r="L19" s="20">
        <f>鉄筋コンクリート造!R10</f>
        <v>143.04320535649978</v>
      </c>
      <c r="M19" s="20"/>
      <c r="N19" s="20"/>
      <c r="O19" s="20">
        <f>鉄筋コンクリート造!V10</f>
        <v>123.13411126773696</v>
      </c>
      <c r="P19" s="20"/>
      <c r="Q19" s="20"/>
      <c r="R19" s="20">
        <f>鉄筋コンクリート造!Z10</f>
        <v>168.15414658135717</v>
      </c>
      <c r="S19" s="20"/>
      <c r="T19" s="20"/>
      <c r="U19" s="20">
        <f>鉄筋コンクリート造!AD10</f>
        <v>137.66795122691573</v>
      </c>
      <c r="V19" s="20"/>
      <c r="W19" s="20"/>
      <c r="X19" s="20">
        <f>鉄筋コンクリート造!AH10</f>
        <v>157.45245438391225</v>
      </c>
      <c r="Y19" s="20"/>
      <c r="Z19" s="20"/>
      <c r="AA19" s="20">
        <f>鉄筋コンクリート造!AL10</f>
        <v>144.46438917235932</v>
      </c>
      <c r="AB19" s="20"/>
      <c r="AC19" s="20"/>
      <c r="AD19" s="20">
        <f>鉄筋コンクリート造!AP10</f>
        <v>169.97430271863163</v>
      </c>
      <c r="AE19" s="20"/>
      <c r="AF19" s="20"/>
      <c r="AG19" s="20">
        <f>鉄筋コンクリート造!AT10</f>
        <v>137.47395534978074</v>
      </c>
      <c r="AH19" s="20"/>
      <c r="AI19" s="20"/>
      <c r="AJ19" s="20">
        <f>鉄筋コンクリート造!AX10</f>
        <v>160.0058753849205</v>
      </c>
      <c r="AK19" s="20"/>
      <c r="AL19" s="20"/>
      <c r="AM19" s="20">
        <f>鉄筋コンクリート造!BB10</f>
        <v>117.61143375290337</v>
      </c>
      <c r="AN19" s="20"/>
      <c r="AO19" s="20"/>
      <c r="AP19" s="20">
        <f>鉄筋コンクリート造!BF10</f>
        <v>162.52763836817383</v>
      </c>
      <c r="AQ19" s="20"/>
      <c r="AR19" s="20"/>
      <c r="AS19" s="20">
        <f>鉄筋コンクリート造!BJ10</f>
        <v>191.73501320582653</v>
      </c>
    </row>
    <row r="20" spans="1:48">
      <c r="B20" s="2" t="s">
        <v>6</v>
      </c>
      <c r="C20" s="20">
        <f>鉄筋コンクリート造!F11</f>
        <v>91.775408185724487</v>
      </c>
      <c r="F20" s="20">
        <f>鉄筋コンクリート造!J11</f>
        <v>191.75918430484376</v>
      </c>
      <c r="G20" s="20"/>
      <c r="H20" s="20"/>
      <c r="I20" s="20">
        <f>鉄筋コンクリート造!N11</f>
        <v>113.49516224969777</v>
      </c>
      <c r="J20" s="20"/>
      <c r="K20" s="20"/>
      <c r="L20" s="20">
        <f>鉄筋コンクリート造!R11</f>
        <v>127.65451368165597</v>
      </c>
      <c r="M20" s="20"/>
      <c r="N20" s="20"/>
      <c r="O20" s="20">
        <f>鉄筋コンクリート造!V11</f>
        <v>152.66514657647275</v>
      </c>
      <c r="P20" s="20"/>
      <c r="Q20" s="20"/>
      <c r="R20" s="20">
        <f>鉄筋コンクリート造!Z11</f>
        <v>144.52523129877301</v>
      </c>
      <c r="S20" s="20"/>
      <c r="T20" s="20"/>
      <c r="U20" s="20">
        <f>鉄筋コンクリート造!AD11</f>
        <v>138.91167739944916</v>
      </c>
      <c r="V20" s="20"/>
      <c r="W20" s="20"/>
      <c r="X20" s="20">
        <f>鉄筋コンクリート造!AH11</f>
        <v>161.23704739287342</v>
      </c>
      <c r="Y20" s="20"/>
      <c r="Z20" s="20"/>
      <c r="AA20" s="20">
        <f>鉄筋コンクリート造!AL11</f>
        <v>143.30760387012086</v>
      </c>
      <c r="AB20" s="20"/>
      <c r="AC20" s="20"/>
      <c r="AD20" s="20">
        <f>鉄筋コンクリート造!AP11</f>
        <v>168.74395187379125</v>
      </c>
      <c r="AE20" s="20"/>
      <c r="AF20" s="20"/>
      <c r="AG20" s="20">
        <f>鉄筋コンクリート造!AT11</f>
        <v>163.57346825662253</v>
      </c>
      <c r="AH20" s="20"/>
      <c r="AI20" s="20"/>
      <c r="AJ20" s="20">
        <f>鉄筋コンクリート造!AX11</f>
        <v>202.22361638492643</v>
      </c>
      <c r="AK20" s="20"/>
      <c r="AL20" s="20"/>
      <c r="AM20" s="20">
        <f>鉄筋コンクリート造!BB11</f>
        <v>166.76419161652612</v>
      </c>
      <c r="AN20" s="20"/>
      <c r="AO20" s="20"/>
      <c r="AP20" s="20">
        <f>鉄筋コンクリート造!BF11</f>
        <v>171.11197451613751</v>
      </c>
      <c r="AQ20" s="20"/>
      <c r="AR20" s="20"/>
      <c r="AS20" s="20">
        <f>鉄筋コンクリート造!BJ11</f>
        <v>147.24102941930491</v>
      </c>
    </row>
    <row r="22" spans="1:48" ht="19.8">
      <c r="A22" s="1" t="s">
        <v>14</v>
      </c>
    </row>
    <row r="23" spans="1:48" s="19" customFormat="1">
      <c r="C23" s="19">
        <v>2015</v>
      </c>
      <c r="D23" s="22"/>
      <c r="E23" s="19" t="s">
        <v>96</v>
      </c>
      <c r="F23" s="19" t="s">
        <v>97</v>
      </c>
      <c r="G23" s="19" t="s">
        <v>98</v>
      </c>
      <c r="H23" s="19" t="s">
        <v>99</v>
      </c>
      <c r="I23" s="19" t="s">
        <v>100</v>
      </c>
      <c r="J23" s="19" t="s">
        <v>101</v>
      </c>
      <c r="K23" s="19" t="s">
        <v>102</v>
      </c>
      <c r="L23" s="19" t="s">
        <v>103</v>
      </c>
      <c r="M23" s="19" t="s">
        <v>104</v>
      </c>
      <c r="N23" s="19" t="s">
        <v>105</v>
      </c>
      <c r="O23" s="19" t="s">
        <v>106</v>
      </c>
      <c r="P23" s="19" t="s">
        <v>95</v>
      </c>
      <c r="Q23" s="19" t="s">
        <v>83</v>
      </c>
      <c r="R23" s="19" t="s">
        <v>84</v>
      </c>
      <c r="S23" s="19" t="s">
        <v>85</v>
      </c>
      <c r="T23" s="19" t="s">
        <v>86</v>
      </c>
      <c r="U23" s="19" t="s">
        <v>87</v>
      </c>
      <c r="V23" s="19" t="s">
        <v>88</v>
      </c>
      <c r="W23" s="19" t="s">
        <v>89</v>
      </c>
      <c r="X23" s="19" t="s">
        <v>90</v>
      </c>
      <c r="Y23" s="19" t="s">
        <v>91</v>
      </c>
      <c r="Z23" s="19" t="s">
        <v>92</v>
      </c>
      <c r="AA23" s="19" t="s">
        <v>93</v>
      </c>
      <c r="AB23" s="19" t="s">
        <v>94</v>
      </c>
      <c r="AC23" s="19" t="s">
        <v>64</v>
      </c>
      <c r="AD23" s="19" t="s">
        <v>33</v>
      </c>
      <c r="AE23" s="19" t="s">
        <v>65</v>
      </c>
      <c r="AF23" s="19" t="s">
        <v>66</v>
      </c>
      <c r="AG23" s="19" t="s">
        <v>67</v>
      </c>
      <c r="AH23" s="19" t="s">
        <v>68</v>
      </c>
      <c r="AI23" s="19" t="s">
        <v>69</v>
      </c>
      <c r="AJ23" s="19" t="s">
        <v>70</v>
      </c>
      <c r="AK23" s="19" t="s">
        <v>71</v>
      </c>
      <c r="AL23" s="19" t="s">
        <v>72</v>
      </c>
      <c r="AM23" s="19" t="s">
        <v>73</v>
      </c>
      <c r="AN23" s="19" t="s">
        <v>74</v>
      </c>
      <c r="AO23" s="19" t="s">
        <v>53</v>
      </c>
      <c r="AP23" s="19" t="s">
        <v>29</v>
      </c>
      <c r="AQ23" s="19" t="s">
        <v>54</v>
      </c>
      <c r="AR23" s="19" t="s">
        <v>55</v>
      </c>
      <c r="AS23" s="19" t="s">
        <v>28</v>
      </c>
    </row>
    <row r="24" spans="1:48">
      <c r="B24" s="2" t="s">
        <v>0</v>
      </c>
      <c r="C24" s="20">
        <f>鉄骨造!F5</f>
        <v>91.672775656003196</v>
      </c>
      <c r="E24" s="20">
        <f>鉄骨造!J5</f>
        <v>108.20912229489026</v>
      </c>
      <c r="F24" s="20">
        <f>鉄骨造!N5</f>
        <v>101.17265671411616</v>
      </c>
      <c r="G24" s="20">
        <f>鉄骨造!R5</f>
        <v>87.619279470816494</v>
      </c>
      <c r="H24" s="20">
        <f>鉄骨造!V5</f>
        <v>99.280914270540578</v>
      </c>
      <c r="I24" s="20">
        <f>鉄骨造!Z5</f>
        <v>129.32566146490933</v>
      </c>
      <c r="J24" s="20">
        <f>鉄骨造!AD5</f>
        <v>113.64937069019419</v>
      </c>
      <c r="K24" s="20">
        <f>鉄骨造!AH5</f>
        <v>145.71207436472477</v>
      </c>
      <c r="L24" s="20">
        <f>鉄骨造!AL5</f>
        <v>93.009622692411114</v>
      </c>
      <c r="M24" s="20">
        <f>鉄骨造!AP5</f>
        <v>146.86782734527398</v>
      </c>
      <c r="N24" s="20">
        <f>鉄骨造!AT5</f>
        <v>118.22188248243857</v>
      </c>
      <c r="O24" s="20">
        <f>鉄骨造!AX5</f>
        <v>118.97610151004415</v>
      </c>
      <c r="P24" s="20">
        <f>鉄骨造!BB5</f>
        <v>150.19286038057606</v>
      </c>
      <c r="Q24" s="20">
        <f>鉄骨造!BF5</f>
        <v>112.27780617072725</v>
      </c>
      <c r="R24" s="20">
        <f>鉄骨造!BJ5</f>
        <v>115.3453173682864</v>
      </c>
      <c r="S24" s="20">
        <f>鉄骨造!BN5</f>
        <v>113.3440250490049</v>
      </c>
      <c r="T24" s="20">
        <f>鉄骨造!BR5</f>
        <v>118.56558619750686</v>
      </c>
      <c r="U24" s="20">
        <f>鉄骨造!BV5</f>
        <v>118.83724382590013</v>
      </c>
      <c r="V24" s="20">
        <f>鉄骨造!BZ5</f>
        <v>122.25715940160272</v>
      </c>
      <c r="W24" s="20">
        <f>鉄骨造!CD5</f>
        <v>151.46338498559979</v>
      </c>
      <c r="X24" s="20">
        <f>鉄骨造!CH5</f>
        <v>127.36381031029137</v>
      </c>
      <c r="Y24" s="20">
        <f>鉄骨造!CL5</f>
        <v>127.23029081393308</v>
      </c>
      <c r="Z24" s="20">
        <f>鉄骨造!CP5</f>
        <v>120.7707567134038</v>
      </c>
      <c r="AA24" s="20">
        <f>鉄骨造!CT5</f>
        <v>118.9864289784899</v>
      </c>
      <c r="AB24" s="20">
        <f>鉄骨造!CX5</f>
        <v>211.83299614376222</v>
      </c>
      <c r="AC24" s="20">
        <f>鉄骨造!DB5</f>
        <v>136.15230443300223</v>
      </c>
      <c r="AD24" s="20">
        <f>鉄骨造!DF5</f>
        <v>136.65422119529967</v>
      </c>
      <c r="AE24" s="20">
        <f>鉄骨造!DJ5</f>
        <v>138.89255701801932</v>
      </c>
      <c r="AF24" s="20">
        <f>鉄骨造!DN5</f>
        <v>151.17867828680193</v>
      </c>
      <c r="AG24" s="20">
        <f>鉄骨造!DR5</f>
        <v>79.735472505046005</v>
      </c>
      <c r="AH24" s="20">
        <f>鉄骨造!DV5</f>
        <v>154.92567576247319</v>
      </c>
      <c r="AI24" s="20">
        <f>鉄骨造!DZ5</f>
        <v>133.97789311735656</v>
      </c>
      <c r="AJ24" s="20">
        <f>鉄骨造!ED5</f>
        <v>147.18927580361282</v>
      </c>
      <c r="AK24" s="20">
        <f>鉄骨造!EH5</f>
        <v>136.54648454112754</v>
      </c>
      <c r="AL24" s="20">
        <f>鉄骨造!EL5</f>
        <v>131.81912091429595</v>
      </c>
      <c r="AM24" s="20">
        <f>鉄骨造!EP5</f>
        <v>116.73168399008487</v>
      </c>
      <c r="AN24" s="20">
        <f>鉄骨造!ET5</f>
        <v>134.36541184686939</v>
      </c>
      <c r="AO24" s="20">
        <f>鉄骨造!EX5</f>
        <v>150.42369294857406</v>
      </c>
      <c r="AP24" s="20">
        <f>鉄骨造!FB5</f>
        <v>116.67205818198364</v>
      </c>
      <c r="AQ24" s="20">
        <f>鉄骨造!FF5</f>
        <v>235.65307155357655</v>
      </c>
      <c r="AR24" s="20">
        <f>鉄骨造!FJ18</f>
        <v>252.27028564567635</v>
      </c>
      <c r="AS24" s="20">
        <f>鉄骨造!FN5</f>
        <v>162.00098997777005</v>
      </c>
      <c r="AT24" s="29"/>
      <c r="AU24" s="29"/>
      <c r="AV24" s="29"/>
    </row>
    <row r="25" spans="1:48" s="23" customFormat="1">
      <c r="B25" s="24" t="s">
        <v>44</v>
      </c>
      <c r="C25" s="25">
        <v>100</v>
      </c>
      <c r="D25" s="28" t="s">
        <v>117</v>
      </c>
      <c r="E25" s="25">
        <f>E24/$C$24*100</f>
        <v>118.03844873306635</v>
      </c>
      <c r="F25" s="25">
        <f>F24/$C$24*100</f>
        <v>110.36281599431517</v>
      </c>
      <c r="G25" s="25">
        <f t="shared" ref="G25:P25" si="1">G24/$C$24*100</f>
        <v>95.578298839344399</v>
      </c>
      <c r="H25" s="25">
        <f t="shared" si="1"/>
        <v>108.29923448929537</v>
      </c>
      <c r="I25" s="25">
        <f t="shared" si="1"/>
        <v>141.07313816939111</v>
      </c>
      <c r="J25" s="25">
        <f t="shared" si="1"/>
        <v>123.97286967360614</v>
      </c>
      <c r="K25" s="25">
        <f t="shared" si="1"/>
        <v>158.9480337232298</v>
      </c>
      <c r="L25" s="25">
        <f t="shared" si="1"/>
        <v>101.45828140016657</v>
      </c>
      <c r="M25" s="25">
        <f t="shared" si="1"/>
        <v>160.20877113657716</v>
      </c>
      <c r="N25" s="25">
        <f t="shared" si="1"/>
        <v>128.96073194735521</v>
      </c>
      <c r="O25" s="25">
        <f t="shared" si="1"/>
        <v>129.78346151151254</v>
      </c>
      <c r="P25" s="25">
        <f t="shared" si="1"/>
        <v>163.83583818184596</v>
      </c>
      <c r="Q25" s="25">
        <f t="shared" ref="Q25:AS25" si="2">Q24/$C$24*100</f>
        <v>122.47671717942004</v>
      </c>
      <c r="R25" s="25">
        <f t="shared" si="2"/>
        <v>125.82287003189808</v>
      </c>
      <c r="S25" s="25">
        <f t="shared" si="2"/>
        <v>123.63978753552942</v>
      </c>
      <c r="T25" s="25">
        <f t="shared" si="2"/>
        <v>129.33565646841259</v>
      </c>
      <c r="U25" s="25">
        <f t="shared" si="2"/>
        <v>129.63199049609889</v>
      </c>
      <c r="V25" s="25">
        <f t="shared" si="2"/>
        <v>133.36255886956633</v>
      </c>
      <c r="W25" s="25">
        <f t="shared" si="2"/>
        <v>165.22177266013784</v>
      </c>
      <c r="X25" s="25">
        <f t="shared" si="2"/>
        <v>138.93307953084863</v>
      </c>
      <c r="Y25" s="25">
        <f t="shared" si="2"/>
        <v>138.78743160494824</v>
      </c>
      <c r="Z25" s="25">
        <f t="shared" si="2"/>
        <v>131.7411367215378</v>
      </c>
      <c r="AA25" s="25">
        <f t="shared" si="2"/>
        <v>129.79472708994828</v>
      </c>
      <c r="AB25" s="25">
        <f t="shared" si="2"/>
        <v>231.07514158691268</v>
      </c>
      <c r="AC25" s="25">
        <f t="shared" si="2"/>
        <v>148.51988876600171</v>
      </c>
      <c r="AD25" s="25">
        <f t="shared" si="2"/>
        <v>149.0673978369399</v>
      </c>
      <c r="AE25" s="25">
        <f t="shared" si="2"/>
        <v>151.50905601375661</v>
      </c>
      <c r="AF25" s="25">
        <f t="shared" si="2"/>
        <v>164.91120423154985</v>
      </c>
      <c r="AG25" s="25">
        <f t="shared" si="2"/>
        <v>86.978355279923861</v>
      </c>
      <c r="AH25" s="25">
        <f t="shared" si="2"/>
        <v>168.99856544523408</v>
      </c>
      <c r="AI25" s="25">
        <f t="shared" si="2"/>
        <v>146.14796176795267</v>
      </c>
      <c r="AJ25" s="25">
        <f t="shared" si="2"/>
        <v>160.55941881364222</v>
      </c>
      <c r="AK25" s="25">
        <f t="shared" si="2"/>
        <v>148.94987477363003</v>
      </c>
      <c r="AL25" s="25">
        <f t="shared" si="2"/>
        <v>143.79309448307706</v>
      </c>
      <c r="AM25" s="25">
        <f t="shared" si="2"/>
        <v>127.33516919801117</v>
      </c>
      <c r="AN25" s="25">
        <f t="shared" si="2"/>
        <v>146.57068130135804</v>
      </c>
      <c r="AO25" s="25">
        <f t="shared" si="2"/>
        <v>164.08763874787681</v>
      </c>
      <c r="AP25" s="25">
        <f t="shared" si="2"/>
        <v>127.27012719652868</v>
      </c>
      <c r="AQ25" s="25">
        <f t="shared" si="2"/>
        <v>257.05894674537956</v>
      </c>
      <c r="AR25" s="25">
        <f t="shared" si="2"/>
        <v>275.1856086394788</v>
      </c>
      <c r="AS25" s="25">
        <f t="shared" si="2"/>
        <v>176.71657568836949</v>
      </c>
      <c r="AT25" s="25"/>
      <c r="AU25" s="25"/>
      <c r="AV25" s="25"/>
    </row>
    <row r="26" spans="1:48">
      <c r="B26" s="2" t="s">
        <v>1</v>
      </c>
      <c r="C26" s="20">
        <f>鉄骨造!F6</f>
        <v>53.500709028355708</v>
      </c>
      <c r="E26" s="20">
        <f>鉄骨造!J6</f>
        <v>62.013475392685848</v>
      </c>
      <c r="F26" s="20">
        <f>鉄骨造!N6</f>
        <v>53.983296897295155</v>
      </c>
      <c r="G26" s="20">
        <f>鉄骨造!R6</f>
        <v>55.24828889462615</v>
      </c>
      <c r="H26" s="20">
        <f>鉄骨造!V6</f>
        <v>53.84169762970506</v>
      </c>
      <c r="I26" s="20">
        <f>鉄骨造!Z6</f>
        <v>53.84199068980265</v>
      </c>
      <c r="J26" s="20">
        <f>鉄骨造!AD6</f>
        <v>56.579621683385106</v>
      </c>
      <c r="K26" s="20">
        <f>鉄骨造!AH6</f>
        <v>49.91815500956649</v>
      </c>
      <c r="L26" s="20">
        <f>鉄骨造!AL6</f>
        <v>55.55051142668021</v>
      </c>
      <c r="M26" s="20">
        <f>鉄骨造!AP6</f>
        <v>55.507062459226361</v>
      </c>
      <c r="N26" s="20">
        <f>鉄骨造!AT6</f>
        <v>64.586056392519282</v>
      </c>
      <c r="O26" s="20">
        <f>鉄骨造!AX6</f>
        <v>68.805887514736497</v>
      </c>
      <c r="P26" s="20">
        <f>鉄骨造!BB6</f>
        <v>69.309583220542109</v>
      </c>
      <c r="Q26" s="20">
        <f>鉄骨造!BF6</f>
        <v>61.798181221428173</v>
      </c>
      <c r="R26" s="20">
        <f>鉄骨造!BJ6</f>
        <v>99.541818807853048</v>
      </c>
      <c r="S26" s="20">
        <f>鉄骨造!BN6</f>
        <v>54.701595298401358</v>
      </c>
      <c r="T26" s="20">
        <f>鉄骨造!BR6</f>
        <v>63.199424337916447</v>
      </c>
      <c r="U26" s="20">
        <f>鉄骨造!BV6</f>
        <v>65.610580898909248</v>
      </c>
      <c r="V26" s="20">
        <f>鉄骨造!BZ6</f>
        <v>71.589609070783084</v>
      </c>
      <c r="W26" s="20">
        <f>鉄骨造!CD6</f>
        <v>59.793879616958215</v>
      </c>
      <c r="X26" s="20">
        <f>鉄骨造!CH6</f>
        <v>57.784747131385437</v>
      </c>
      <c r="Y26" s="20">
        <f>鉄骨造!CL6</f>
        <v>61.482504754352227</v>
      </c>
      <c r="Z26" s="20">
        <f>鉄骨造!CP6</f>
        <v>61.33314558609289</v>
      </c>
      <c r="AA26" s="20">
        <f>鉄骨造!CT6</f>
        <v>70.43574063967381</v>
      </c>
      <c r="AB26" s="20">
        <f>鉄骨造!CX6</f>
        <v>66.783656388136336</v>
      </c>
      <c r="AC26" s="20">
        <f>鉄骨造!DB6</f>
        <v>74.487696643419639</v>
      </c>
      <c r="AD26" s="20">
        <f>鉄骨造!DF6</f>
        <v>66.8448649887127</v>
      </c>
      <c r="AE26" s="20">
        <f>鉄骨造!DJ6</f>
        <v>67.284862782446012</v>
      </c>
      <c r="AF26" s="20">
        <f>鉄骨造!DN6</f>
        <v>96.560345707907572</v>
      </c>
      <c r="AG26" s="20">
        <f>鉄骨造!DR6</f>
        <v>72.857832955997509</v>
      </c>
      <c r="AH26" s="20">
        <f>鉄骨造!DV6</f>
        <v>69.954433578046178</v>
      </c>
      <c r="AI26" s="20">
        <f>鉄骨造!DZ6</f>
        <v>57.265938345087761</v>
      </c>
      <c r="AJ26" s="20">
        <f>鉄骨造!ED6</f>
        <v>72.50520200066299</v>
      </c>
      <c r="AK26" s="20">
        <f>鉄骨造!EH6</f>
        <v>74.202432557548747</v>
      </c>
      <c r="AL26" s="20">
        <f>鉄骨造!EL6</f>
        <v>79.720063761860018</v>
      </c>
      <c r="AM26" s="20">
        <f>鉄骨造!EP6</f>
        <v>71.677289016102932</v>
      </c>
      <c r="AN26" s="20">
        <f>鉄骨造!ET6</f>
        <v>67.89023665200078</v>
      </c>
      <c r="AO26" s="20">
        <f>鉄骨造!EX6</f>
        <v>90.284249580569707</v>
      </c>
      <c r="AP26" s="20">
        <f>鉄骨造!FB6</f>
        <v>82.161266606062568</v>
      </c>
      <c r="AQ26" s="20">
        <f>鉄骨造!FF6</f>
        <v>114.580576226443</v>
      </c>
      <c r="AR26" s="20">
        <f>鉄骨造!FN6</f>
        <v>68.85434051832182</v>
      </c>
      <c r="AS26" s="20">
        <f>鉄骨造!FN6</f>
        <v>68.85434051832182</v>
      </c>
      <c r="AT26" s="29"/>
      <c r="AU26" s="29"/>
      <c r="AV26" s="29"/>
    </row>
    <row r="27" spans="1:48">
      <c r="B27" s="2" t="s">
        <v>2</v>
      </c>
      <c r="C27" s="20">
        <f>鉄骨造!F7</f>
        <v>59.856481695019326</v>
      </c>
      <c r="E27" s="20">
        <f>鉄骨造!J7</f>
        <v>83.864304645127731</v>
      </c>
      <c r="F27" s="20">
        <f>鉄骨造!N7</f>
        <v>83.068695385749038</v>
      </c>
      <c r="G27" s="20">
        <f>鉄骨造!R7</f>
        <v>70.759642039147195</v>
      </c>
      <c r="H27" s="20">
        <f>鉄骨造!V7</f>
        <v>89.441659099118624</v>
      </c>
      <c r="I27" s="20">
        <f>鉄骨造!Z7</f>
        <v>63.972187019300499</v>
      </c>
      <c r="J27" s="20">
        <f>鉄骨造!AD7</f>
        <v>79.65576777882859</v>
      </c>
      <c r="K27" s="20">
        <f>鉄骨造!AH7</f>
        <v>62.089416664285118</v>
      </c>
      <c r="L27" s="20">
        <f>鉄骨造!AL7</f>
        <v>89.302419265404311</v>
      </c>
      <c r="M27" s="20">
        <f>鉄骨造!AP7</f>
        <v>95.928104422750891</v>
      </c>
      <c r="N27" s="20">
        <f>鉄骨造!AT7</f>
        <v>92.068168314650762</v>
      </c>
      <c r="O27" s="20">
        <f>鉄骨造!AX7</f>
        <v>81.542403062702093</v>
      </c>
      <c r="P27" s="20">
        <f>鉄骨造!BB7</f>
        <v>92.583261280046798</v>
      </c>
      <c r="Q27" s="20">
        <f>鉄骨造!BF7</f>
        <v>83.046502755782683</v>
      </c>
      <c r="R27" s="20">
        <f>鉄骨造!BJ7</f>
        <v>79.846033896746803</v>
      </c>
      <c r="S27" s="20">
        <f>鉄骨造!BN7</f>
        <v>94.092487081178675</v>
      </c>
      <c r="T27" s="20">
        <f>鉄骨造!BR7</f>
        <v>98.144282225065623</v>
      </c>
      <c r="U27" s="20">
        <f>鉄骨造!BV7</f>
        <v>89.220022859752092</v>
      </c>
      <c r="V27" s="20">
        <f>鉄骨造!BZ7</f>
        <v>113.9382874828426</v>
      </c>
      <c r="W27" s="20">
        <f>鉄骨造!CD7</f>
        <v>99.915869976649688</v>
      </c>
      <c r="X27" s="20">
        <f>鉄骨造!CH7</f>
        <v>87.622156489179574</v>
      </c>
      <c r="Y27" s="20">
        <f>鉄骨造!CL7</f>
        <v>156.42721420446247</v>
      </c>
      <c r="Z27" s="20">
        <f>鉄骨造!CP7</f>
        <v>131.03048691015186</v>
      </c>
      <c r="AA27" s="20">
        <f>鉄骨造!CT7</f>
        <v>126.47513898590664</v>
      </c>
      <c r="AB27" s="20">
        <f>鉄骨造!CX7</f>
        <v>97.656350203278549</v>
      </c>
      <c r="AC27" s="20">
        <f>鉄骨造!DB7</f>
        <v>118.58295168538098</v>
      </c>
      <c r="AD27" s="20">
        <f>鉄骨造!DF7</f>
        <v>100.32281861590438</v>
      </c>
      <c r="AE27" s="20">
        <f>鉄骨造!DJ7</f>
        <v>123.48188698684838</v>
      </c>
      <c r="AF27" s="20">
        <f>鉄骨造!DN7</f>
        <v>118.633478884723</v>
      </c>
      <c r="AG27" s="20">
        <f>鉄骨造!DR7</f>
        <v>114.42435269729629</v>
      </c>
      <c r="AH27" s="20">
        <f>鉄骨造!DV7</f>
        <v>100.74497635703248</v>
      </c>
      <c r="AI27" s="20">
        <f>鉄骨造!DZ7</f>
        <v>99.682524434690592</v>
      </c>
      <c r="AJ27" s="20">
        <f>鉄骨造!ED7</f>
        <v>143.97489765415727</v>
      </c>
      <c r="AK27" s="20">
        <f>鉄骨造!EH7</f>
        <v>108.47988605389185</v>
      </c>
      <c r="AL27" s="20">
        <f>鉄骨造!EL7</f>
        <v>139.8881901297371</v>
      </c>
      <c r="AM27" s="20">
        <f>鉄骨造!EP7</f>
        <v>95.165272019369723</v>
      </c>
      <c r="AN27" s="20">
        <f>鉄骨造!ET7</f>
        <v>108.82456696370399</v>
      </c>
      <c r="AO27" s="20">
        <f>鉄骨造!EX7</f>
        <v>128.77769978667203</v>
      </c>
      <c r="AP27" s="20">
        <f>鉄骨造!FB7</f>
        <v>151.30944378218692</v>
      </c>
      <c r="AQ27" s="20">
        <f>鉄骨造!FF7</f>
        <v>113.79900561118423</v>
      </c>
      <c r="AR27" s="20">
        <f>鉄骨造!FN7</f>
        <v>147.52207897062618</v>
      </c>
      <c r="AS27" s="20">
        <f>鉄骨造!FN7</f>
        <v>147.52207897062618</v>
      </c>
      <c r="AT27" s="29"/>
      <c r="AU27" s="29"/>
      <c r="AV27" s="29"/>
    </row>
    <row r="28" spans="1:48">
      <c r="B28" s="2" t="s">
        <v>3</v>
      </c>
      <c r="C28" s="20">
        <f>鉄骨造!F8</f>
        <v>38.858880634573367</v>
      </c>
      <c r="E28" s="20">
        <f>鉄骨造!J8</f>
        <v>41.636841072201648</v>
      </c>
      <c r="F28" s="20">
        <f>鉄骨造!N8</f>
        <v>44.742266661781095</v>
      </c>
      <c r="G28" s="20">
        <f>鉄骨造!R8</f>
        <v>42.562810596514687</v>
      </c>
      <c r="H28" s="20">
        <f>鉄骨造!V8</f>
        <v>44.884577564185868</v>
      </c>
      <c r="I28" s="20">
        <f>鉄骨造!Z8</f>
        <v>42.670097561276755</v>
      </c>
      <c r="J28" s="20">
        <f>鉄骨造!AD8</f>
        <v>47.236704449675479</v>
      </c>
      <c r="K28" s="20">
        <f>鉄骨造!AH8</f>
        <v>51.116664227802666</v>
      </c>
      <c r="L28" s="20">
        <f>鉄骨造!AL8</f>
        <v>47.878984371784284</v>
      </c>
      <c r="M28" s="20">
        <f>鉄骨造!AP8</f>
        <v>47.015930674453401</v>
      </c>
      <c r="N28" s="20">
        <f>鉄骨造!AT8</f>
        <v>55.146120058285327</v>
      </c>
      <c r="O28" s="20">
        <f>鉄骨造!AX8</f>
        <v>47.184751827092157</v>
      </c>
      <c r="P28" s="20">
        <f>鉄骨造!BB8</f>
        <v>48.922393943545408</v>
      </c>
      <c r="Q28" s="20">
        <f>鉄骨造!BF8</f>
        <v>51.577581021832522</v>
      </c>
      <c r="R28" s="20">
        <f>鉄骨造!BJ8</f>
        <v>47.701262177505768</v>
      </c>
      <c r="S28" s="20">
        <f>鉄骨造!BN8</f>
        <v>52.868816189237542</v>
      </c>
      <c r="T28" s="20">
        <f>鉄骨造!BR8</f>
        <v>47.642199024934456</v>
      </c>
      <c r="U28" s="20">
        <f>鉄骨造!BV8</f>
        <v>50.015331285829873</v>
      </c>
      <c r="V28" s="20">
        <f>鉄骨造!BZ8</f>
        <v>57.428835124807584</v>
      </c>
      <c r="W28" s="20">
        <f>鉄骨造!CD8</f>
        <v>51.083973441156544</v>
      </c>
      <c r="X28" s="20">
        <f>鉄骨造!CH8</f>
        <v>55.338993512705429</v>
      </c>
      <c r="Y28" s="20">
        <f>鉄骨造!CL8</f>
        <v>61.717336375484223</v>
      </c>
      <c r="Z28" s="20">
        <f>鉄骨造!CP8</f>
        <v>71.31456960013891</v>
      </c>
      <c r="AA28" s="20">
        <f>鉄骨造!CT8</f>
        <v>60.852744708403954</v>
      </c>
      <c r="AB28" s="20">
        <f>鉄骨造!CX8</f>
        <v>50.358281931438405</v>
      </c>
      <c r="AC28" s="20">
        <f>鉄骨造!DB8</f>
        <v>52.333455704940754</v>
      </c>
      <c r="AD28" s="20">
        <f>鉄骨造!DF8</f>
        <v>54.052997635957176</v>
      </c>
      <c r="AE28" s="20">
        <f>鉄骨造!DJ8</f>
        <v>61.21810450674991</v>
      </c>
      <c r="AF28" s="20">
        <f>鉄骨造!DN8</f>
        <v>60.991014269347659</v>
      </c>
      <c r="AG28" s="20">
        <f>鉄骨造!DR8</f>
        <v>50.397551541605189</v>
      </c>
      <c r="AH28" s="20">
        <f>鉄骨造!DV8</f>
        <v>55.599500801145716</v>
      </c>
      <c r="AI28" s="20">
        <f>鉄骨造!DZ8</f>
        <v>56.084655018327801</v>
      </c>
      <c r="AJ28" s="20">
        <f>鉄骨造!ED8</f>
        <v>83.015692227741127</v>
      </c>
      <c r="AK28" s="20">
        <f>鉄骨造!EH8</f>
        <v>59.111655221585302</v>
      </c>
      <c r="AL28" s="20">
        <f>鉄骨造!EL8</f>
        <v>52.650555965828602</v>
      </c>
      <c r="AM28" s="20">
        <f>鉄骨造!EP8</f>
        <v>67.011380053681989</v>
      </c>
      <c r="AN28" s="20">
        <f>鉄骨造!ET8</f>
        <v>62.401197975528973</v>
      </c>
      <c r="AO28" s="20">
        <f>鉄骨造!EX8</f>
        <v>75.075963040756136</v>
      </c>
      <c r="AP28" s="20">
        <f>鉄骨造!FB8</f>
        <v>66.988528105823391</v>
      </c>
      <c r="AQ28" s="20">
        <f>鉄骨造!FF8</f>
        <v>58.921065725738814</v>
      </c>
      <c r="AR28" s="20">
        <f>鉄骨造!FN8</f>
        <v>72.041596923902546</v>
      </c>
      <c r="AS28" s="20">
        <f>鉄骨造!FN8</f>
        <v>72.041596923902546</v>
      </c>
      <c r="AT28" s="29"/>
      <c r="AU28" s="29"/>
      <c r="AV28" s="29"/>
    </row>
    <row r="29" spans="1:48">
      <c r="B29" s="2" t="s">
        <v>4</v>
      </c>
      <c r="C29" s="20">
        <f>鉄骨造!F9</f>
        <v>77.883289591183157</v>
      </c>
      <c r="E29" s="20">
        <f>鉄骨造!J9</f>
        <v>99.64024894578273</v>
      </c>
      <c r="F29" s="20">
        <f>鉄骨造!N9</f>
        <v>58.597997519849024</v>
      </c>
      <c r="G29" s="20">
        <f>鉄骨造!R9</f>
        <v>70.471622361179556</v>
      </c>
      <c r="H29" s="20">
        <f>鉄骨造!V9</f>
        <v>99.750365980194871</v>
      </c>
      <c r="I29" s="20">
        <f>鉄骨造!Z9</f>
        <v>112.15526290796326</v>
      </c>
      <c r="J29" s="20">
        <f>鉄骨造!AD9</f>
        <v>84.731924368111095</v>
      </c>
      <c r="K29" s="20">
        <f>鉄骨造!AH9</f>
        <v>90.699401599860963</v>
      </c>
      <c r="L29" s="20">
        <f>鉄骨造!AL9</f>
        <v>125.08080173119642</v>
      </c>
      <c r="M29" s="20">
        <f>鉄骨造!AP9</f>
        <v>75.965974858240386</v>
      </c>
      <c r="N29" s="20">
        <f>鉄骨造!AT9</f>
        <v>83.795198630000996</v>
      </c>
      <c r="O29" s="20">
        <f>鉄骨造!AX9</f>
        <v>113.18669866644697</v>
      </c>
      <c r="P29" s="20">
        <f>鉄骨造!BB9</f>
        <v>83.65766533054186</v>
      </c>
      <c r="Q29" s="20">
        <f>鉄骨造!BF9</f>
        <v>79.517836748929312</v>
      </c>
      <c r="R29" s="20">
        <f>鉄骨造!BJ9</f>
        <v>108.5614478554857</v>
      </c>
      <c r="S29" s="20">
        <f>鉄骨造!BN9</f>
        <v>62.092084923483952</v>
      </c>
      <c r="T29" s="20">
        <f>鉄骨造!BR9</f>
        <v>87.246125882837305</v>
      </c>
      <c r="U29" s="20">
        <f>鉄骨造!BV9</f>
        <v>87.092876176506849</v>
      </c>
      <c r="V29" s="20">
        <f>鉄骨造!BZ9</f>
        <v>118.91971926717429</v>
      </c>
      <c r="W29" s="20">
        <f>鉄骨造!CD9</f>
        <v>173.87564403892537</v>
      </c>
      <c r="X29" s="20">
        <f>鉄骨造!CH9</f>
        <v>104.27225418135542</v>
      </c>
      <c r="Y29" s="20">
        <f>鉄骨造!CL9</f>
        <v>87.138635485617669</v>
      </c>
      <c r="Z29" s="20">
        <f>鉄骨造!CP9</f>
        <v>101.75186559561125</v>
      </c>
      <c r="AA29" s="20">
        <f>鉄骨造!CT9</f>
        <v>138.58578132467608</v>
      </c>
      <c r="AB29" s="20">
        <f>鉄骨造!CX9</f>
        <v>96.080664928029393</v>
      </c>
      <c r="AC29" s="20">
        <f>鉄骨造!DB9</f>
        <v>136.0679782283527</v>
      </c>
      <c r="AD29" s="20">
        <f>鉄骨造!DF9</f>
        <v>110.15615190182683</v>
      </c>
      <c r="AE29" s="20">
        <f>鉄骨造!DJ9</f>
        <v>96.323284187421862</v>
      </c>
      <c r="AF29" s="20">
        <f>鉄骨造!DN9</f>
        <v>105.65506791610872</v>
      </c>
      <c r="AG29" s="20">
        <f>鉄骨造!DR9</f>
        <v>113.03382139831362</v>
      </c>
      <c r="AH29" s="20">
        <f>鉄骨造!DV9</f>
        <v>93.441672703994726</v>
      </c>
      <c r="AI29" s="20">
        <f>鉄骨造!DZ9</f>
        <v>130.69155672833693</v>
      </c>
      <c r="AJ29" s="20">
        <f>鉄骨造!ED9</f>
        <v>99.911352438201533</v>
      </c>
      <c r="AK29" s="20">
        <f>鉄骨造!EH9</f>
        <v>119.44784490644714</v>
      </c>
      <c r="AL29" s="20">
        <f>鉄骨造!EL9</f>
        <v>179.89561608070284</v>
      </c>
      <c r="AM29" s="20">
        <f>鉄骨造!EP9</f>
        <v>88.677184344001247</v>
      </c>
      <c r="AN29" s="20">
        <f>鉄骨造!ET9</f>
        <v>77.944824887228108</v>
      </c>
      <c r="AO29" s="20">
        <f>鉄骨造!EX9</f>
        <v>147.20556668989249</v>
      </c>
      <c r="AP29" s="20">
        <f>鉄骨造!FB9</f>
        <v>113.68685143967761</v>
      </c>
      <c r="AQ29" s="20">
        <f>鉄骨造!FF9</f>
        <v>131.1878483597213</v>
      </c>
      <c r="AR29" s="20">
        <f>鉄骨造!FN9</f>
        <v>112.81794060973978</v>
      </c>
      <c r="AS29" s="20">
        <f>鉄骨造!FN9</f>
        <v>112.81794060973978</v>
      </c>
      <c r="AT29" s="29"/>
      <c r="AU29" s="29"/>
      <c r="AV29" s="29"/>
    </row>
    <row r="30" spans="1:48">
      <c r="B30" s="2" t="s">
        <v>5</v>
      </c>
      <c r="C30" s="20">
        <f>鉄骨造!F10</f>
        <v>96.164439742241797</v>
      </c>
      <c r="E30" s="20">
        <f>鉄骨造!J10</f>
        <v>101.10212507769208</v>
      </c>
      <c r="F30" s="20">
        <f>鉄骨造!N10</f>
        <v>106.44829945552914</v>
      </c>
      <c r="G30" s="20">
        <f>鉄骨造!R10</f>
        <v>117.48157190637248</v>
      </c>
      <c r="H30" s="20">
        <f>鉄骨造!V10</f>
        <v>127.65658709766524</v>
      </c>
      <c r="I30" s="20">
        <f>鉄骨造!Z10</f>
        <v>109.89651660055661</v>
      </c>
      <c r="J30" s="20">
        <f>鉄骨造!AD10</f>
        <v>122.69860727761039</v>
      </c>
      <c r="K30" s="20">
        <f>鉄骨造!AH10</f>
        <v>119.12178915989927</v>
      </c>
      <c r="L30" s="20">
        <f>鉄骨造!AL10</f>
        <v>138.93041611526016</v>
      </c>
      <c r="M30" s="20">
        <f>鉄骨造!AP10</f>
        <v>110.48980971082717</v>
      </c>
      <c r="N30" s="20">
        <f>鉄骨造!AT10</f>
        <v>117.99115151877717</v>
      </c>
      <c r="O30" s="20">
        <f>鉄骨造!AX10</f>
        <v>143.25543165315705</v>
      </c>
      <c r="P30" s="20">
        <f>鉄骨造!BB10</f>
        <v>113.01203607966688</v>
      </c>
      <c r="Q30" s="20">
        <f>鉄骨造!BF10</f>
        <v>126.45660712542124</v>
      </c>
      <c r="R30" s="20">
        <f>鉄骨造!BJ10</f>
        <v>151.2891116373265</v>
      </c>
      <c r="S30" s="20">
        <f>鉄骨造!BN10</f>
        <v>120.3235989959303</v>
      </c>
      <c r="T30" s="20">
        <f>鉄骨造!BR10</f>
        <v>138.69036302870364</v>
      </c>
      <c r="U30" s="20">
        <f>鉄骨造!BV10</f>
        <v>169.71114441094247</v>
      </c>
      <c r="V30" s="20">
        <f>鉄骨造!BZ10</f>
        <v>129.87791346413567</v>
      </c>
      <c r="W30" s="20">
        <f>鉄骨造!CD10</f>
        <v>123.83699564226356</v>
      </c>
      <c r="X30" s="20">
        <f>鉄骨造!CH10</f>
        <v>168.93967947813081</v>
      </c>
      <c r="Y30" s="20">
        <f>鉄骨造!CL10</f>
        <v>164.59982225536623</v>
      </c>
      <c r="Z30" s="20">
        <f>鉄骨造!CP10</f>
        <v>147.55463866815717</v>
      </c>
      <c r="AA30" s="20">
        <f>鉄骨造!CT10</f>
        <v>140.24449461055454</v>
      </c>
      <c r="AB30" s="20">
        <f>鉄骨造!CX10</f>
        <v>118.28290688045979</v>
      </c>
      <c r="AC30" s="20">
        <f>鉄骨造!DB10</f>
        <v>130.47078789646955</v>
      </c>
      <c r="AD30" s="20">
        <f>鉄骨造!DF10</f>
        <v>138.64366374770276</v>
      </c>
      <c r="AE30" s="20">
        <f>鉄骨造!DJ10</f>
        <v>161.49565571057974</v>
      </c>
      <c r="AF30" s="20">
        <f>鉄骨造!DN10</f>
        <v>127.35373376132632</v>
      </c>
      <c r="AG30" s="20">
        <f>鉄骨造!DR10</f>
        <v>204.55694695420371</v>
      </c>
      <c r="AH30" s="20">
        <f>鉄骨造!DV10</f>
        <v>136.51192188405889</v>
      </c>
      <c r="AI30" s="20">
        <f>鉄骨造!DZ10</f>
        <v>112.13362017929366</v>
      </c>
      <c r="AJ30" s="20">
        <f>鉄骨造!ED10</f>
        <v>125.45059835217317</v>
      </c>
      <c r="AK30" s="20">
        <f>鉄骨造!EH10</f>
        <v>191.4670074556999</v>
      </c>
      <c r="AL30" s="20">
        <f>鉄骨造!EL10</f>
        <v>118.53502779287065</v>
      </c>
      <c r="AM30" s="20">
        <f>鉄骨造!EP10</f>
        <v>222.75099380105294</v>
      </c>
      <c r="AN30" s="20">
        <f>鉄骨造!ET10</f>
        <v>120.62823725485035</v>
      </c>
      <c r="AO30" s="20">
        <f>鉄骨造!EX10</f>
        <v>119.07180274121839</v>
      </c>
      <c r="AP30" s="20">
        <f>鉄骨造!FB10</f>
        <v>202.25763134501955</v>
      </c>
      <c r="AQ30" s="20">
        <f>鉄骨造!FF10</f>
        <v>207.3954022075435</v>
      </c>
      <c r="AR30" s="20">
        <f>鉄骨造!FN10</f>
        <v>168.21164714531085</v>
      </c>
      <c r="AS30" s="20">
        <f>鉄骨造!FN10</f>
        <v>168.21164714531085</v>
      </c>
      <c r="AT30" s="29"/>
      <c r="AU30" s="29"/>
      <c r="AV30" s="29"/>
    </row>
    <row r="31" spans="1:48">
      <c r="B31" s="2" t="s">
        <v>6</v>
      </c>
      <c r="C31" s="20">
        <f>鉄骨造!F11</f>
        <v>64.308814676303228</v>
      </c>
      <c r="E31" s="20">
        <f>鉄骨造!J11</f>
        <v>82.003804092777997</v>
      </c>
      <c r="F31" s="20">
        <f>鉄骨造!N11</f>
        <v>79.347395578891835</v>
      </c>
      <c r="G31" s="20">
        <f>鉄骨造!R11</f>
        <v>79.855402443738114</v>
      </c>
      <c r="H31" s="20">
        <f>鉄骨造!V11</f>
        <v>83.894523921301413</v>
      </c>
      <c r="I31" s="20">
        <f>鉄骨造!Z11</f>
        <v>105.7811870437431</v>
      </c>
      <c r="J31" s="20">
        <f>鉄骨造!AD11</f>
        <v>80.928503884599593</v>
      </c>
      <c r="K31" s="20">
        <f>鉄骨造!AH11</f>
        <v>97.877555869180483</v>
      </c>
      <c r="L31" s="20">
        <f>鉄骨造!AL11</f>
        <v>91.838682534863082</v>
      </c>
      <c r="M31" s="20">
        <f>鉄骨造!AP11</f>
        <v>94.680160725457938</v>
      </c>
      <c r="N31" s="20">
        <f>鉄骨造!AT11</f>
        <v>83.529479174799903</v>
      </c>
      <c r="O31" s="20">
        <f>鉄骨造!AX11</f>
        <v>83.123441582606162</v>
      </c>
      <c r="P31" s="20">
        <f>鉄骨造!BB11</f>
        <v>79.645311485531934</v>
      </c>
      <c r="Q31" s="20">
        <f>鉄骨造!BF11</f>
        <v>93.258245559358542</v>
      </c>
      <c r="R31" s="20">
        <f>鉄骨造!BJ11</f>
        <v>77.705988292942052</v>
      </c>
      <c r="S31" s="20">
        <f>鉄骨造!BN11</f>
        <v>80.594201202015725</v>
      </c>
      <c r="T31" s="20">
        <f>鉄骨造!BR11</f>
        <v>100.48218365912258</v>
      </c>
      <c r="U31" s="20">
        <f>鉄骨造!BV11</f>
        <v>103.30941046944619</v>
      </c>
      <c r="V31" s="20">
        <f>鉄骨造!BZ11</f>
        <v>98.815001794301637</v>
      </c>
      <c r="W31" s="20">
        <f>鉄骨造!CD11</f>
        <v>102.73703002505721</v>
      </c>
      <c r="X31" s="20">
        <f>鉄骨造!CH11</f>
        <v>98.229801169198552</v>
      </c>
      <c r="Y31" s="20">
        <f>鉄骨造!CL11</f>
        <v>104.81556865245429</v>
      </c>
      <c r="Z31" s="20">
        <f>鉄骨造!CP11</f>
        <v>95.189996113188698</v>
      </c>
      <c r="AA31" s="20">
        <f>鉄骨造!CT11</f>
        <v>105.79728071513755</v>
      </c>
      <c r="AB31" s="20">
        <f>鉄骨造!CX11</f>
        <v>109.95921938788089</v>
      </c>
      <c r="AC31" s="20">
        <f>鉄骨造!DB11</f>
        <v>114.66389615517225</v>
      </c>
      <c r="AD31" s="20">
        <f>鉄骨造!DF11</f>
        <v>175.49599953323022</v>
      </c>
      <c r="AE31" s="20">
        <f>鉄骨造!DJ11</f>
        <v>135.39965080083292</v>
      </c>
      <c r="AF31" s="20">
        <f>鉄骨造!DN11</f>
        <v>135.41601652644053</v>
      </c>
      <c r="AG31" s="20">
        <f>鉄骨造!DR11</f>
        <v>108.71078106493532</v>
      </c>
      <c r="AH31" s="20">
        <f>鉄骨造!DV11</f>
        <v>112.25170680397389</v>
      </c>
      <c r="AI31" s="20">
        <f>鉄骨造!DZ11</f>
        <v>103.24896542079064</v>
      </c>
      <c r="AJ31" s="20">
        <f>鉄骨造!ED11</f>
        <v>166.83579702242665</v>
      </c>
      <c r="AK31" s="20">
        <f>鉄骨造!EH11</f>
        <v>120.10385184897125</v>
      </c>
      <c r="AL31" s="20">
        <f>鉄骨造!EL11</f>
        <v>120.24692120976763</v>
      </c>
      <c r="AM31" s="20">
        <f>鉄骨造!EP11</f>
        <v>103.51881687625924</v>
      </c>
      <c r="AN31" s="20">
        <f>鉄骨造!ET11</f>
        <v>121.53231935110063</v>
      </c>
      <c r="AO31" s="20">
        <f>鉄骨造!EX11</f>
        <v>100.86947490410478</v>
      </c>
      <c r="AP31" s="20">
        <f>鉄骨造!FB11</f>
        <v>155.91670477467193</v>
      </c>
      <c r="AQ31" s="20">
        <f>鉄骨造!FF11</f>
        <v>178.85596668150859</v>
      </c>
      <c r="AR31" s="20">
        <f>鉄骨造!FN11</f>
        <v>209.65755877960271</v>
      </c>
      <c r="AS31" s="20">
        <f>鉄骨造!FN11</f>
        <v>209.65755877960271</v>
      </c>
      <c r="AT31" s="29"/>
      <c r="AU31" s="29"/>
      <c r="AV31" s="29"/>
    </row>
    <row r="33" spans="1:52" ht="19.8">
      <c r="A33" s="1" t="s">
        <v>14</v>
      </c>
    </row>
    <row r="34" spans="1:52" s="19" customFormat="1">
      <c r="C34" s="19">
        <v>2015</v>
      </c>
      <c r="D34" s="22"/>
      <c r="E34" s="19" t="s">
        <v>96</v>
      </c>
      <c r="F34" s="19" t="s">
        <v>97</v>
      </c>
      <c r="G34" s="19" t="s">
        <v>98</v>
      </c>
      <c r="H34" s="19" t="s">
        <v>99</v>
      </c>
      <c r="I34" s="19" t="s">
        <v>100</v>
      </c>
      <c r="J34" s="19" t="s">
        <v>101</v>
      </c>
      <c r="K34" s="19" t="s">
        <v>102</v>
      </c>
      <c r="L34" s="19" t="s">
        <v>103</v>
      </c>
      <c r="M34" s="19" t="s">
        <v>104</v>
      </c>
      <c r="N34" s="19" t="s">
        <v>105</v>
      </c>
      <c r="O34" s="19" t="s">
        <v>106</v>
      </c>
      <c r="P34" s="19" t="s">
        <v>95</v>
      </c>
      <c r="Q34" s="19" t="s">
        <v>83</v>
      </c>
      <c r="R34" s="19" t="s">
        <v>84</v>
      </c>
      <c r="S34" s="19" t="s">
        <v>85</v>
      </c>
      <c r="T34" s="19" t="s">
        <v>86</v>
      </c>
      <c r="U34" s="19" t="s">
        <v>87</v>
      </c>
      <c r="V34" s="19" t="s">
        <v>88</v>
      </c>
      <c r="W34" s="19" t="s">
        <v>89</v>
      </c>
      <c r="X34" s="19" t="s">
        <v>90</v>
      </c>
      <c r="Y34" s="19" t="s">
        <v>91</v>
      </c>
      <c r="Z34" s="19" t="s">
        <v>92</v>
      </c>
      <c r="AA34" s="19" t="s">
        <v>93</v>
      </c>
      <c r="AB34" s="19" t="s">
        <v>94</v>
      </c>
      <c r="AC34" s="19" t="s">
        <v>64</v>
      </c>
      <c r="AD34" s="19" t="s">
        <v>33</v>
      </c>
      <c r="AE34" s="19" t="s">
        <v>65</v>
      </c>
      <c r="AF34" s="19" t="s">
        <v>66</v>
      </c>
      <c r="AG34" s="19" t="s">
        <v>67</v>
      </c>
      <c r="AH34" s="19" t="s">
        <v>68</v>
      </c>
      <c r="AI34" s="19" t="s">
        <v>69</v>
      </c>
      <c r="AJ34" s="19" t="s">
        <v>70</v>
      </c>
      <c r="AK34" s="19" t="s">
        <v>71</v>
      </c>
      <c r="AL34" s="19" t="s">
        <v>72</v>
      </c>
      <c r="AM34" s="19" t="s">
        <v>73</v>
      </c>
      <c r="AN34" s="19" t="s">
        <v>74</v>
      </c>
      <c r="AO34" s="19" t="s">
        <v>53</v>
      </c>
      <c r="AP34" s="19" t="s">
        <v>29</v>
      </c>
      <c r="AQ34" s="19" t="s">
        <v>54</v>
      </c>
      <c r="AR34" s="19" t="s">
        <v>55</v>
      </c>
      <c r="AS34" s="19" t="s">
        <v>28</v>
      </c>
      <c r="AT34" s="19" t="s">
        <v>122</v>
      </c>
      <c r="AU34" s="19" t="s">
        <v>123</v>
      </c>
      <c r="AV34" s="19" t="s">
        <v>124</v>
      </c>
      <c r="AW34" s="19" t="s">
        <v>129</v>
      </c>
      <c r="AX34" s="19" t="s">
        <v>130</v>
      </c>
      <c r="AY34" s="19" t="s">
        <v>131</v>
      </c>
      <c r="AZ34" s="19" t="s">
        <v>132</v>
      </c>
    </row>
    <row r="35" spans="1:52">
      <c r="C35" s="20">
        <f>鉄骨造!F18</f>
        <v>58.459019087423854</v>
      </c>
      <c r="E35" s="20">
        <f>鉄骨造!J18</f>
        <v>124.44526092282695</v>
      </c>
      <c r="F35" s="20">
        <f>鉄骨造!N18</f>
        <v>62.071332725088205</v>
      </c>
      <c r="G35" s="20">
        <f>鉄骨造!R18</f>
        <v>99.722682075792804</v>
      </c>
      <c r="H35" s="20">
        <f>鉄骨造!V18</f>
        <v>64.297791698143243</v>
      </c>
      <c r="I35" s="20">
        <f>鉄骨造!Z18</f>
        <v>77.585961886747583</v>
      </c>
      <c r="J35" s="20">
        <f>鉄骨造!AD18</f>
        <v>104.8011975492586</v>
      </c>
      <c r="K35" s="20">
        <f>鉄骨造!AH18</f>
        <v>161.89040639807197</v>
      </c>
      <c r="L35" s="20">
        <f>鉄骨造!AL18</f>
        <v>100.84291566514487</v>
      </c>
      <c r="M35" s="20">
        <f>鉄骨造!AP18</f>
        <v>68.723149215531961</v>
      </c>
      <c r="N35" s="20">
        <f>鉄骨造!AT18</f>
        <v>83.867370901279415</v>
      </c>
      <c r="O35" s="20">
        <f>鉄骨造!AX18</f>
        <v>124.11787100903935</v>
      </c>
      <c r="P35" s="20">
        <f>鉄骨造!BB18</f>
        <v>99.958533542488908</v>
      </c>
      <c r="Q35" s="20">
        <f>鉄骨造!BF18</f>
        <v>84.37732984303922</v>
      </c>
      <c r="R35" s="20">
        <f>鉄骨造!BJ18</f>
        <v>207.5522809560612</v>
      </c>
      <c r="S35" s="20">
        <f>鉄骨造!BN18</f>
        <v>61.985403616032137</v>
      </c>
      <c r="T35" s="20">
        <f>鉄骨造!BR18</f>
        <v>120.01508158743469</v>
      </c>
      <c r="U35" s="20">
        <f>鉄骨造!BV18</f>
        <v>85.803092513706957</v>
      </c>
      <c r="V35" s="20">
        <f>鉄骨造!BZ18</f>
        <v>139.141045073996</v>
      </c>
      <c r="W35" s="20">
        <f>鉄骨造!CD18</f>
        <v>145.00633566121911</v>
      </c>
      <c r="X35" s="20">
        <f>鉄骨造!CH18</f>
        <v>136.1355902611821</v>
      </c>
      <c r="Y35" s="20">
        <f>鉄骨造!CL18</f>
        <v>132.38334630396534</v>
      </c>
      <c r="Z35" s="20">
        <f>鉄骨造!CP18</f>
        <v>126.23480749586898</v>
      </c>
      <c r="AA35" s="20">
        <f>鉄骨造!CT18</f>
        <v>116.4756400687737</v>
      </c>
      <c r="AB35" s="20">
        <f>鉄骨造!CX18</f>
        <v>176.8453538294826</v>
      </c>
      <c r="AC35" s="20">
        <f>鉄骨造!DB18</f>
        <v>126.87037100932521</v>
      </c>
      <c r="AD35" s="20">
        <f>鉄骨造!DF18</f>
        <v>141.20208817817561</v>
      </c>
      <c r="AE35" s="20">
        <f>鉄骨造!DJ18</f>
        <v>152.96846798492959</v>
      </c>
      <c r="AF35" s="20">
        <f>鉄骨造!DN18</f>
        <v>195.67940786372708</v>
      </c>
      <c r="AG35" s="20">
        <f>鉄骨造!DR18</f>
        <v>77.78170639834741</v>
      </c>
      <c r="AH35" s="20">
        <f>鉄骨造!DV18</f>
        <v>119.9311713716331</v>
      </c>
      <c r="AI35" s="20">
        <f>鉄骨造!DZ18</f>
        <v>120.70576517424912</v>
      </c>
      <c r="AJ35" s="20">
        <f>鉄骨造!ED18</f>
        <v>270.9589299811455</v>
      </c>
      <c r="AK35" s="20">
        <f>鉄骨造!EH18</f>
        <v>132.29928014754</v>
      </c>
      <c r="AL35" s="20">
        <f>鉄骨造!EL18</f>
        <v>141.89436158299708</v>
      </c>
      <c r="AM35" s="20">
        <f>鉄骨造!EP18</f>
        <v>63.663244424392779</v>
      </c>
      <c r="AN35" s="20">
        <f>鉄骨造!ET18</f>
        <v>92.590453368987383</v>
      </c>
      <c r="AO35" s="20">
        <f>鉄骨造!EX18</f>
        <v>110.89166302801517</v>
      </c>
      <c r="AP35" s="20">
        <f>鉄骨造!FB18</f>
        <v>216.686240265111</v>
      </c>
      <c r="AQ35" s="20">
        <f>鉄骨造!FF18</f>
        <v>216.88063872368141</v>
      </c>
      <c r="AR35" s="20">
        <f>鉄骨造!FJ18</f>
        <v>252.27028564567635</v>
      </c>
      <c r="AS35" s="20">
        <f>鉄骨造!FN18</f>
        <v>149.20685032231191</v>
      </c>
      <c r="AT35" s="2">
        <f>鉄骨造!FR18</f>
        <v>139.79640836198615</v>
      </c>
      <c r="AU35" s="2">
        <f>鉄骨造!FV18</f>
        <v>121.52715315426035</v>
      </c>
      <c r="AV35" s="2">
        <f>鉄骨造!FZ18</f>
        <v>190.9447252327308</v>
      </c>
      <c r="AW35" s="38">
        <f>鉄骨造!GD18</f>
        <v>174.83695667538174</v>
      </c>
      <c r="AX35" s="38">
        <f>鉄骨造!GH18</f>
        <v>129.88418324435756</v>
      </c>
      <c r="AY35" s="38">
        <f>鉄骨造!GL18</f>
        <v>144.66366106176849</v>
      </c>
    </row>
    <row r="36" spans="1:52" s="23" customFormat="1">
      <c r="B36" s="24" t="s">
        <v>44</v>
      </c>
      <c r="C36" s="25">
        <v>100</v>
      </c>
      <c r="D36" s="28" t="s">
        <v>116</v>
      </c>
      <c r="E36" s="25">
        <f>E35/$C$35*100</f>
        <v>212.87606748365465</v>
      </c>
      <c r="F36" s="25">
        <f t="shared" ref="F36:AS36" si="3">F35/$C$35*100</f>
        <v>106.17922382902496</v>
      </c>
      <c r="G36" s="25">
        <f t="shared" si="3"/>
        <v>170.58562328365497</v>
      </c>
      <c r="H36" s="25">
        <f t="shared" si="3"/>
        <v>109.98780462256417</v>
      </c>
      <c r="I36" s="25">
        <f t="shared" si="3"/>
        <v>132.71854899022495</v>
      </c>
      <c r="J36" s="25">
        <f t="shared" si="3"/>
        <v>179.27293202188579</v>
      </c>
      <c r="K36" s="25">
        <f t="shared" si="3"/>
        <v>276.92973458204852</v>
      </c>
      <c r="L36" s="25">
        <f t="shared" si="3"/>
        <v>172.50189489894976</v>
      </c>
      <c r="M36" s="25">
        <f t="shared" si="3"/>
        <v>117.55782133935293</v>
      </c>
      <c r="N36" s="25">
        <f t="shared" si="3"/>
        <v>143.46352745990839</v>
      </c>
      <c r="O36" s="25">
        <f t="shared" si="3"/>
        <v>212.3160342862142</v>
      </c>
      <c r="P36" s="25">
        <f t="shared" si="3"/>
        <v>170.98907081044871</v>
      </c>
      <c r="Q36" s="25">
        <f t="shared" si="3"/>
        <v>144.33586324268501</v>
      </c>
      <c r="R36" s="25">
        <f t="shared" si="3"/>
        <v>355.03893872333447</v>
      </c>
      <c r="S36" s="25">
        <f t="shared" si="3"/>
        <v>106.03223349220873</v>
      </c>
      <c r="T36" s="25">
        <f t="shared" si="3"/>
        <v>205.29780256482826</v>
      </c>
      <c r="U36" s="25">
        <f t="shared" si="3"/>
        <v>146.77477291466488</v>
      </c>
      <c r="V36" s="25">
        <f t="shared" si="3"/>
        <v>238.01467634260916</v>
      </c>
      <c r="W36" s="25">
        <f t="shared" si="3"/>
        <v>248.0478426166647</v>
      </c>
      <c r="X36" s="25">
        <f t="shared" si="3"/>
        <v>232.87354523960636</v>
      </c>
      <c r="Y36" s="25">
        <f t="shared" si="3"/>
        <v>226.45495660128967</v>
      </c>
      <c r="Z36" s="25">
        <f t="shared" si="3"/>
        <v>215.9372659111647</v>
      </c>
      <c r="AA36" s="25">
        <f t="shared" si="3"/>
        <v>199.24323378500003</v>
      </c>
      <c r="AB36" s="25">
        <f t="shared" si="3"/>
        <v>302.51166815682495</v>
      </c>
      <c r="AC36" s="25">
        <f t="shared" si="3"/>
        <v>217.02446087847295</v>
      </c>
      <c r="AD36" s="25">
        <f t="shared" si="3"/>
        <v>241.54029674533501</v>
      </c>
      <c r="AE36" s="25">
        <f t="shared" si="3"/>
        <v>261.66786643506532</v>
      </c>
      <c r="AF36" s="25">
        <f t="shared" si="3"/>
        <v>334.72920161574024</v>
      </c>
      <c r="AG36" s="25">
        <f t="shared" si="3"/>
        <v>133.05338955829384</v>
      </c>
      <c r="AH36" s="25">
        <f t="shared" si="3"/>
        <v>205.15426574688041</v>
      </c>
      <c r="AI36" s="25">
        <f t="shared" si="3"/>
        <v>206.47928593146077</v>
      </c>
      <c r="AJ36" s="25">
        <f t="shared" si="3"/>
        <v>463.50235465965295</v>
      </c>
      <c r="AK36" s="25">
        <f t="shared" si="3"/>
        <v>226.31115303130568</v>
      </c>
      <c r="AL36" s="25">
        <f t="shared" si="3"/>
        <v>242.72449965470332</v>
      </c>
      <c r="AM36" s="25">
        <f t="shared" si="3"/>
        <v>108.90234803493051</v>
      </c>
      <c r="AN36" s="25">
        <f t="shared" si="3"/>
        <v>158.38523262000155</v>
      </c>
      <c r="AO36" s="25">
        <f>AO35/$C$35*100</f>
        <v>189.69128247290593</v>
      </c>
      <c r="AP36" s="25">
        <f>AP35/$C$35*100</f>
        <v>370.66348982192585</v>
      </c>
      <c r="AQ36" s="25">
        <f t="shared" si="3"/>
        <v>370.99602783163772</v>
      </c>
      <c r="AR36" s="25">
        <f t="shared" si="3"/>
        <v>431.53355903631069</v>
      </c>
      <c r="AS36" s="25">
        <f t="shared" si="3"/>
        <v>255.23324313597732</v>
      </c>
      <c r="AT36" s="25">
        <f>AT35/$C$35*100</f>
        <v>239.13574080489525</v>
      </c>
      <c r="AU36" s="25">
        <f>AU35/$C$35*100</f>
        <v>207.88435223745344</v>
      </c>
      <c r="AV36" s="25">
        <f>AV35/$C$35*100</f>
        <v>326.63005334930136</v>
      </c>
      <c r="AW36" s="39">
        <f t="shared" ref="AW36:AY36" si="4">AW35/$C$35*100</f>
        <v>299.07610391805906</v>
      </c>
      <c r="AX36" s="39">
        <f t="shared" si="4"/>
        <v>222.17988818820129</v>
      </c>
      <c r="AY36" s="39">
        <f t="shared" si="4"/>
        <v>247.46166343541955</v>
      </c>
    </row>
    <row r="37" spans="1:52" s="23" customFormat="1">
      <c r="B37" s="24"/>
      <c r="C37" s="25"/>
      <c r="D37" s="28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</row>
    <row r="38" spans="1:52" ht="19.8">
      <c r="A38" s="1" t="s">
        <v>42</v>
      </c>
    </row>
    <row r="39" spans="1:52">
      <c r="B39" s="2" t="s">
        <v>43</v>
      </c>
      <c r="C39" s="2">
        <v>100</v>
      </c>
      <c r="D39" s="22" t="s">
        <v>49</v>
      </c>
      <c r="E39">
        <v>113.6</v>
      </c>
      <c r="F39" s="21">
        <v>113.7</v>
      </c>
      <c r="G39" s="21">
        <v>114.4</v>
      </c>
      <c r="H39" s="21">
        <v>115.5</v>
      </c>
      <c r="I39" s="21">
        <v>116.2</v>
      </c>
      <c r="J39" s="21">
        <v>118.3</v>
      </c>
      <c r="K39" s="21">
        <v>118.4</v>
      </c>
      <c r="L39" s="21">
        <v>120.3</v>
      </c>
      <c r="M39" s="21">
        <v>122.2</v>
      </c>
      <c r="N39" s="21">
        <v>122.8</v>
      </c>
      <c r="O39" s="21">
        <v>123.1</v>
      </c>
      <c r="P39" s="21">
        <v>124.1</v>
      </c>
      <c r="Q39" s="21">
        <v>124.3</v>
      </c>
      <c r="R39" s="21">
        <v>124.2</v>
      </c>
      <c r="S39" s="21">
        <v>124.4</v>
      </c>
      <c r="T39" s="21">
        <v>124.4</v>
      </c>
      <c r="U39" s="21">
        <v>124.5</v>
      </c>
      <c r="V39" s="21">
        <v>126.7</v>
      </c>
      <c r="W39" s="21">
        <v>126.6</v>
      </c>
      <c r="X39" s="21">
        <v>127</v>
      </c>
      <c r="Y39" s="21">
        <v>128.80000000000001</v>
      </c>
      <c r="Z39" s="21">
        <v>128.69999999999999</v>
      </c>
      <c r="AA39" s="21">
        <v>129.4</v>
      </c>
      <c r="AB39" s="21">
        <v>130.69999999999999</v>
      </c>
      <c r="AC39" s="21">
        <v>130.9</v>
      </c>
      <c r="AD39" s="21">
        <v>131</v>
      </c>
      <c r="AE39" s="21">
        <v>132</v>
      </c>
      <c r="AF39" s="21">
        <v>132.1</v>
      </c>
      <c r="AG39" s="21">
        <v>132.6</v>
      </c>
      <c r="AH39" s="21">
        <v>133.4</v>
      </c>
      <c r="AI39" s="21">
        <v>134.69999999999999</v>
      </c>
      <c r="AJ39" s="21">
        <v>134.80000000000001</v>
      </c>
      <c r="AK39" s="21">
        <v>135.69999999999999</v>
      </c>
      <c r="AL39" s="21">
        <v>135.30000000000001</v>
      </c>
      <c r="AM39" s="21">
        <v>135.19999999999999</v>
      </c>
      <c r="AN39" s="21">
        <v>136.9</v>
      </c>
      <c r="AO39" s="21">
        <v>137</v>
      </c>
      <c r="AP39" s="21">
        <v>137</v>
      </c>
      <c r="AQ39" s="21">
        <v>137.6</v>
      </c>
      <c r="AR39" s="21">
        <v>137.4</v>
      </c>
      <c r="AS39" s="21">
        <v>138</v>
      </c>
      <c r="AT39" s="21">
        <v>138.80000000000001</v>
      </c>
      <c r="AU39" s="21">
        <v>138.69999999999999</v>
      </c>
      <c r="AV39" s="21">
        <v>138.9</v>
      </c>
      <c r="AW39" s="34">
        <v>139.5</v>
      </c>
      <c r="AX39" s="33">
        <v>139.5</v>
      </c>
      <c r="AY39" s="33">
        <v>139.69999999999999</v>
      </c>
      <c r="AZ39" s="2">
        <v>140.69999999999999</v>
      </c>
    </row>
    <row r="41" spans="1:52" ht="19.8">
      <c r="A41" s="1" t="s">
        <v>46</v>
      </c>
    </row>
    <row r="42" spans="1:52">
      <c r="B42" s="2" t="s">
        <v>47</v>
      </c>
      <c r="C42" s="26">
        <v>100</v>
      </c>
      <c r="D42" s="22" t="s">
        <v>48</v>
      </c>
      <c r="E42">
        <v>115.2</v>
      </c>
      <c r="F42" s="27">
        <v>115.6</v>
      </c>
      <c r="G42" s="27">
        <v>116.4</v>
      </c>
      <c r="H42" s="27">
        <v>117.5</v>
      </c>
      <c r="I42" s="27">
        <v>116.9</v>
      </c>
      <c r="J42" s="27">
        <v>119.5</v>
      </c>
      <c r="K42" s="27">
        <v>117.6</v>
      </c>
      <c r="L42" s="27">
        <v>118.9</v>
      </c>
      <c r="M42" s="27">
        <v>118.2</v>
      </c>
      <c r="N42" s="27">
        <v>120.1</v>
      </c>
      <c r="O42" s="27">
        <v>122</v>
      </c>
      <c r="P42" s="27">
        <v>121.2</v>
      </c>
      <c r="Q42" s="27">
        <v>121.1</v>
      </c>
      <c r="R42" s="27">
        <v>121.2</v>
      </c>
      <c r="S42" s="27">
        <v>122.2</v>
      </c>
      <c r="T42" s="27">
        <v>122.3</v>
      </c>
      <c r="U42" s="27">
        <v>122.1</v>
      </c>
      <c r="V42" s="27">
        <v>122.9</v>
      </c>
      <c r="W42" s="27">
        <v>123.3</v>
      </c>
      <c r="X42" s="27">
        <v>124</v>
      </c>
      <c r="Y42" s="27">
        <v>123.7</v>
      </c>
      <c r="Z42" s="27">
        <v>124.3</v>
      </c>
      <c r="AA42" s="27">
        <v>124.5</v>
      </c>
      <c r="AB42" s="27">
        <v>124.4</v>
      </c>
      <c r="AC42" s="27">
        <v>124.5</v>
      </c>
      <c r="AD42" s="27">
        <v>124.9</v>
      </c>
      <c r="AE42" s="27">
        <v>126.2</v>
      </c>
      <c r="AF42" s="27">
        <v>127.2</v>
      </c>
      <c r="AG42" s="27">
        <v>128.9</v>
      </c>
      <c r="AH42" s="27">
        <v>128.6</v>
      </c>
      <c r="AI42" s="27">
        <v>130.19999999999999</v>
      </c>
      <c r="AJ42" s="27">
        <v>128.80000000000001</v>
      </c>
      <c r="AK42" s="27">
        <v>129</v>
      </c>
      <c r="AL42" s="27">
        <v>129</v>
      </c>
      <c r="AM42" s="27">
        <v>130.80000000000001</v>
      </c>
      <c r="AN42" s="27">
        <v>131.6</v>
      </c>
      <c r="AO42" s="27">
        <v>129.80000000000001</v>
      </c>
      <c r="AP42" s="27">
        <v>131.4</v>
      </c>
      <c r="AQ42" s="27">
        <v>129.80000000000001</v>
      </c>
      <c r="AR42" s="27">
        <v>131.69999999999999</v>
      </c>
      <c r="AS42">
        <v>133.6</v>
      </c>
      <c r="AT42">
        <v>139</v>
      </c>
      <c r="AU42" s="33">
        <v>133.6</v>
      </c>
      <c r="AV42" s="33">
        <v>137.80000000000001</v>
      </c>
      <c r="AW42" s="33">
        <v>132.4</v>
      </c>
      <c r="AX42" s="33">
        <v>132.69999999999999</v>
      </c>
      <c r="AY42" s="37">
        <v>132</v>
      </c>
    </row>
  </sheetData>
  <phoneticPr fontId="5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F645D-D162-47A6-AC63-6E65C8AAA4AC}">
  <dimension ref="A1"/>
  <sheetViews>
    <sheetView topLeftCell="A13" zoomScale="40" zoomScaleNormal="40" workbookViewId="0">
      <selection activeCell="X22" sqref="X22"/>
    </sheetView>
  </sheetViews>
  <sheetFormatPr defaultRowHeight="18"/>
  <sheetData/>
  <phoneticPr fontId="5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2C66093AC49314CAA1C456C0FF51723" ma:contentTypeVersion="11" ma:contentTypeDescription="新しいドキュメントを作成します。" ma:contentTypeScope="" ma:versionID="d0349d9208c3112f4789db99fc32695d">
  <xsd:schema xmlns:xsd="http://www.w3.org/2001/XMLSchema" xmlns:xs="http://www.w3.org/2001/XMLSchema" xmlns:p="http://schemas.microsoft.com/office/2006/metadata/properties" xmlns:ns2="4fce45ce-f325-437e-a122-29eca82ac8ea" xmlns:ns3="2ec4340a-5c21-42c0-a88f-b444083c2225" targetNamespace="http://schemas.microsoft.com/office/2006/metadata/properties" ma:root="true" ma:fieldsID="95e1cd95149a49ade262e0c27cb3e10d" ns2:_="" ns3:_="">
    <xsd:import namespace="4fce45ce-f325-437e-a122-29eca82ac8ea"/>
    <xsd:import namespace="2ec4340a-5c21-42c0-a88f-b444083c22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ce45ce-f325-437e-a122-29eca82ac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5a37caa4-81ae-4def-855b-5ea945bc0b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c4340a-5c21-42c0-a88f-b444083c222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b88d55d-9c46-4795-bef4-2ad7af537c00}" ma:internalName="TaxCatchAll" ma:showField="CatchAllData" ma:web="2ec4340a-5c21-42c0-a88f-b444083c22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ce45ce-f325-437e-a122-29eca82ac8ea">
      <Terms xmlns="http://schemas.microsoft.com/office/infopath/2007/PartnerControls"/>
    </lcf76f155ced4ddcb4097134ff3c332f>
    <TaxCatchAll xmlns="2ec4340a-5c21-42c0-a88f-b444083c222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CBE21F-A2CA-4D61-B711-27F6EE192C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ce45ce-f325-437e-a122-29eca82ac8ea"/>
    <ds:schemaRef ds:uri="2ec4340a-5c21-42c0-a88f-b444083c22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65D12F-867E-4BAA-BEE6-6EE9F532BE4C}">
  <ds:schemaRefs>
    <ds:schemaRef ds:uri="4fce45ce-f325-437e-a122-29eca82ac8ea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2ec4340a-5c21-42c0-a88f-b444083c2225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478608-A204-4669-AFDA-A6D339D2BF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鉄骨鉄筋コンクリート造</vt:lpstr>
      <vt:lpstr>鉄筋コンクリート造</vt:lpstr>
      <vt:lpstr>鉄骨造</vt:lpstr>
      <vt:lpstr>集計</vt:lpstr>
      <vt:lpstr>グラフ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渋谷 宣隆</dc:creator>
  <cp:lastModifiedBy>松尾 一輝</cp:lastModifiedBy>
  <dcterms:created xsi:type="dcterms:W3CDTF">2015-06-05T18:19:34Z</dcterms:created>
  <dcterms:modified xsi:type="dcterms:W3CDTF">2026-02-14T05:17:29Z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0x010100C2C66093AC49314CAA1C456C0FF51723</vt:lpwstr>
  </property>
  <property fmtid="{D5CDD505-2E9C-101B-9397-08002B2CF9AE}" pid="3" name="MediaServiceImageTags">
    <vt:lpwstr/>
  </property>
</Properties>
</file>