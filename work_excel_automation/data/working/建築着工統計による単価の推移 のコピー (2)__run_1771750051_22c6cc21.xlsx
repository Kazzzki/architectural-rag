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xmlns:r="http://schemas.openxmlformats.org/officeDocument/2006/relationships" name="鉄骨鉄筋コンクリート造" sheetId="1" state="hidden" r:id="rId1"/>
    <sheet xmlns:r="http://schemas.openxmlformats.org/officeDocument/2006/relationships" name="鉄筋コンクリート造" sheetId="2" state="hidden" r:id="rId2"/>
    <sheet xmlns:r="http://schemas.openxmlformats.org/officeDocument/2006/relationships" name="鉄骨造" sheetId="3" state="visible" r:id="rId3"/>
    <sheet xmlns:r="http://schemas.openxmlformats.org/officeDocument/2006/relationships" name="集計" sheetId="4" state="visible" r:id="rId4"/>
    <sheet xmlns:r="http://schemas.openxmlformats.org/officeDocument/2006/relationships" name="グラフ" sheetId="5" state="visible" r:id="rId5"/>
    <sheet xmlns:r="http://schemas.openxmlformats.org/officeDocument/2006/relationships" name="データベース化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##,###,##0;&quot;-&quot;##,###,##0"/>
    <numFmt numFmtId="165" formatCode="#,##0.0_ ;[Red]\-#,##0.0\ "/>
    <numFmt numFmtId="166" formatCode="#,##0.0_ "/>
    <numFmt numFmtId="167" formatCode="_ * #,##0.0_ ;_ * \-#,##0.0_ ;_ * &quot;-&quot;_ ;_ @_ "/>
    <numFmt numFmtId="168" formatCode="#,##0.0;[Red]\-#,##0.0"/>
    <numFmt numFmtId="169" formatCode="0.0"/>
    <numFmt numFmtId="170" formatCode="0.000"/>
  </numFmts>
  <fonts count="13">
    <font>
      <name val="Yu Gothic"/>
      <family val="2"/>
      <color theme="1"/>
      <sz val="11"/>
      <scheme val="minor"/>
    </font>
    <font>
      <name val="ＭＳ Ｐゴシック"/>
      <charset val="128"/>
      <family val="3"/>
      <sz val="6"/>
    </font>
    <font>
      <name val="Yu Gothic"/>
      <family val="2"/>
      <color theme="1"/>
      <sz val="11"/>
      <scheme val="minor"/>
    </font>
    <font>
      <name val="ＭＳ 明朝"/>
      <charset val="128"/>
      <family val="1"/>
      <color theme="1"/>
      <sz val="10"/>
    </font>
    <font>
      <name val="Yu Gothic"/>
      <charset val="128"/>
      <family val="3"/>
      <b val="1"/>
      <color theme="1"/>
      <sz val="12"/>
      <scheme val="minor"/>
    </font>
    <font>
      <name val="Yu Gothic"/>
      <charset val="128"/>
      <family val="3"/>
      <sz val="6"/>
      <scheme val="minor"/>
    </font>
    <font>
      <name val="ＭＳ Ｐゴシック"/>
      <charset val="128"/>
      <family val="3"/>
      <sz val="11"/>
    </font>
    <font>
      <name val="Yu Gothic"/>
      <charset val="128"/>
      <family val="3"/>
      <sz val="11"/>
      <scheme val="minor"/>
    </font>
    <font>
      <name val="Yu Gothic"/>
      <family val="2"/>
      <color rgb="FF0070C0"/>
      <sz val="11"/>
      <scheme val="minor"/>
    </font>
    <font>
      <name val="Yu Gothic"/>
      <charset val="128"/>
      <family val="3"/>
      <color rgb="FF0070C0"/>
      <sz val="11"/>
      <scheme val="minor"/>
    </font>
    <font>
      <name val="Yu Gothic"/>
      <charset val="128"/>
      <family val="3"/>
      <color theme="1"/>
      <sz val="11"/>
      <scheme val="minor"/>
    </font>
    <font>
      <name val="Yu Gothic"/>
      <family val="2"/>
      <sz val="11"/>
      <scheme val="minor"/>
    </font>
    <font>
      <name val="Yu Gothic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2" fillId="0" borderId="0"/>
    <xf numFmtId="38" fontId="2" fillId="0" borderId="0" applyAlignment="1">
      <alignment vertical="center"/>
    </xf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</cellStyleXfs>
  <cellXfs count="54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2" borderId="5" applyAlignment="1" pivotButton="0" quotePrefix="0" xfId="0">
      <alignment vertical="center" wrapText="1"/>
    </xf>
    <xf numFmtId="38" fontId="0" fillId="0" borderId="4" applyAlignment="1" pivotButton="0" quotePrefix="0" xfId="1">
      <alignment vertical="center"/>
    </xf>
    <xf numFmtId="38" fontId="0" fillId="0" borderId="0" applyAlignment="1" pivotButton="0" quotePrefix="0" xfId="1">
      <alignment vertical="center"/>
    </xf>
    <xf numFmtId="165" fontId="0" fillId="2" borderId="0" applyAlignment="1" pivotButton="0" quotePrefix="0" xfId="1">
      <alignment vertical="center"/>
    </xf>
    <xf numFmtId="165" fontId="0" fillId="2" borderId="5" applyAlignment="1" pivotButton="0" quotePrefix="0" xfId="1">
      <alignment vertical="center"/>
    </xf>
    <xf numFmtId="38" fontId="0" fillId="0" borderId="6" applyAlignment="1" pivotButton="0" quotePrefix="0" xfId="1">
      <alignment vertical="center"/>
    </xf>
    <xf numFmtId="38" fontId="0" fillId="0" borderId="7" applyAlignment="1" pivotButton="0" quotePrefix="0" xfId="1">
      <alignment vertical="center"/>
    </xf>
    <xf numFmtId="165" fontId="0" fillId="2" borderId="7" applyAlignment="1" pivotButton="0" quotePrefix="0" xfId="1">
      <alignment vertical="center"/>
    </xf>
    <xf numFmtId="165" fontId="0" fillId="2" borderId="8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7" fontId="7" fillId="0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6" fontId="7" fillId="0" borderId="0" applyAlignment="1" pivotButton="0" quotePrefix="0" xfId="3">
      <alignment vertical="center"/>
    </xf>
    <xf numFmtId="0" fontId="11" fillId="0" borderId="0" applyAlignment="1" pivotButton="0" quotePrefix="0" xfId="0">
      <alignment horizontal="right" vertical="center"/>
    </xf>
    <xf numFmtId="168" fontId="0" fillId="0" borderId="0" applyAlignment="1" pivotButton="0" quotePrefix="0" xfId="1">
      <alignment vertical="center"/>
    </xf>
    <xf numFmtId="0" fontId="12" fillId="0" borderId="0" applyAlignment="1" pivotButton="0" quotePrefix="0" xfId="4">
      <alignment vertical="center"/>
    </xf>
    <xf numFmtId="38" fontId="0" fillId="0" borderId="0" applyAlignment="1" pivotButton="0" quotePrefix="0" xfId="1">
      <alignment vertical="center"/>
    </xf>
    <xf numFmtId="165" fontId="0" fillId="2" borderId="0" applyAlignment="1" pivotButton="0" quotePrefix="0" xfId="1">
      <alignment vertical="center"/>
    </xf>
    <xf numFmtId="0" fontId="0" fillId="3" borderId="0" applyAlignment="1" pivotButton="0" quotePrefix="0" xfId="0">
      <alignment vertical="center"/>
    </xf>
    <xf numFmtId="167" fontId="7" fillId="3" borderId="0" applyAlignment="1" pivotButton="0" quotePrefix="0" xfId="2">
      <alignment vertical="center"/>
    </xf>
    <xf numFmtId="38" fontId="0" fillId="3" borderId="4" applyAlignment="1" pivotButton="0" quotePrefix="0" xfId="1">
      <alignment vertical="center"/>
    </xf>
    <xf numFmtId="38" fontId="0" fillId="3" borderId="0" applyAlignment="1" pivotButton="0" quotePrefix="0" xfId="1">
      <alignment vertical="center"/>
    </xf>
    <xf numFmtId="169" fontId="0" fillId="3" borderId="0" applyAlignment="1" pivotButton="0" quotePrefix="0" xfId="0">
      <alignment vertical="center"/>
    </xf>
    <xf numFmtId="170" fontId="0" fillId="3" borderId="0" applyAlignment="1" pivotButton="0" quotePrefix="0" xfId="0">
      <alignment vertical="center"/>
    </xf>
    <xf numFmtId="168" fontId="9" fillId="3" borderId="0" applyAlignment="1" pivotButton="0" quotePrefix="0" xfId="1">
      <alignment vertical="center"/>
    </xf>
    <xf numFmtId="165" fontId="0" fillId="2" borderId="0" applyAlignment="1" pivotButton="0" quotePrefix="0" xfId="1">
      <alignment vertical="center"/>
    </xf>
    <xf numFmtId="165" fontId="0" fillId="2" borderId="5" applyAlignment="1" pivotButton="0" quotePrefix="0" xfId="1">
      <alignment vertical="center"/>
    </xf>
    <xf numFmtId="165" fontId="0" fillId="2" borderId="7" applyAlignment="1" pivotButton="0" quotePrefix="0" xfId="1">
      <alignment vertical="center"/>
    </xf>
    <xf numFmtId="165" fontId="0" fillId="2" borderId="8" applyAlignment="1" pivotButton="0" quotePrefix="0" xfId="1">
      <alignment vertical="center"/>
    </xf>
    <xf numFmtId="164" fontId="3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8" fontId="0" fillId="0" borderId="0" applyAlignment="1" pivotButton="0" quotePrefix="0" xfId="1">
      <alignment vertical="center"/>
    </xf>
    <xf numFmtId="170" fontId="0" fillId="3" borderId="0" applyAlignment="1" pivotButton="0" quotePrefix="0" xfId="0">
      <alignment vertical="center"/>
    </xf>
    <xf numFmtId="168" fontId="9" fillId="3" borderId="0" applyAlignment="1" pivotButton="0" quotePrefix="0" xfId="1">
      <alignment vertical="center"/>
    </xf>
    <xf numFmtId="167" fontId="7" fillId="0" borderId="0" applyAlignment="1" pivotButton="0" quotePrefix="0" xfId="2">
      <alignment vertical="center"/>
    </xf>
    <xf numFmtId="167" fontId="7" fillId="3" borderId="0" applyAlignment="1" pivotButton="0" quotePrefix="0" xfId="2">
      <alignment vertical="center"/>
    </xf>
    <xf numFmtId="166" fontId="7" fillId="0" borderId="0" applyAlignment="1" pivotButton="0" quotePrefix="0" xfId="3">
      <alignment vertical="center"/>
    </xf>
    <xf numFmtId="169" fontId="0" fillId="3" borderId="0" applyAlignment="1" pivotButton="0" quotePrefix="0" xfId="0">
      <alignment vertical="center"/>
    </xf>
  </cellXfs>
  <cellStyles count="8">
    <cellStyle name="標準" xfId="0" builtinId="0"/>
    <cellStyle name="桁区切り" xfId="1" builtinId="6"/>
    <cellStyle name="標準_RS0B030 2" xfId="2"/>
    <cellStyle name="標準 2 2" xfId="3"/>
    <cellStyle name="ハイパーリンク" xfId="4" builtinId="8"/>
    <cellStyle name="標準 10" xfId="5"/>
    <cellStyle name="標準 11" xfId="6"/>
    <cellStyle name="標準 3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集計!$D$36</f>
              <strCache>
                <ptCount val="1"/>
                <pt idx="0">
                  <v>建築物着工統計算出指数(S造/多用途建築物)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22225" cap="rnd">
                <a:solidFill>
                  <a:srgbClr val="0070C0"/>
                </a:solidFill>
                <a:prstDash val="sysDash"/>
              </a:ln>
            </spPr>
            <trendlineType val="movingAvg"/>
            <period val="12"/>
            <dispRSqr val="0"/>
            <dispEq val="0"/>
          </trendline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集計!$E$36:$AY$36</f>
              <numCache>
                <formatCode xml:space="preserve">#,##0.0_ </formatCode>
                <ptCount val="47"/>
                <pt idx="0">
                  <v>212.8760674836547</v>
                </pt>
                <pt idx="1">
                  <v>106.179223829025</v>
                </pt>
                <pt idx="2">
                  <v>170.585623283655</v>
                </pt>
                <pt idx="3">
                  <v>109.9878046225642</v>
                </pt>
                <pt idx="4">
                  <v>132.7185489902249</v>
                </pt>
                <pt idx="5">
                  <v>179.2729320218858</v>
                </pt>
                <pt idx="6">
                  <v>276.9297345820485</v>
                </pt>
                <pt idx="7">
                  <v>172.5018948989498</v>
                </pt>
                <pt idx="8">
                  <v>117.5578213393529</v>
                </pt>
                <pt idx="9">
                  <v>143.4635274599084</v>
                </pt>
                <pt idx="10">
                  <v>212.3160342862142</v>
                </pt>
                <pt idx="11">
                  <v>170.9890708104487</v>
                </pt>
                <pt idx="12">
                  <v>144.335863242685</v>
                </pt>
                <pt idx="13">
                  <v>355.0389387233345</v>
                </pt>
                <pt idx="14">
                  <v>106.0322334922087</v>
                </pt>
                <pt idx="15">
                  <v>205.2978025648283</v>
                </pt>
                <pt idx="16">
                  <v>146.7747729146649</v>
                </pt>
                <pt idx="17">
                  <v>238.0146763426092</v>
                </pt>
                <pt idx="18">
                  <v>248.0478426166647</v>
                </pt>
                <pt idx="19">
                  <v>232.8735452396064</v>
                </pt>
                <pt idx="20">
                  <v>226.4549566012897</v>
                </pt>
                <pt idx="21">
                  <v>215.9372659111647</v>
                </pt>
                <pt idx="22">
                  <v>199.243233785</v>
                </pt>
                <pt idx="23">
                  <v>302.511668156825</v>
                </pt>
                <pt idx="24">
                  <v>217.024460878473</v>
                </pt>
                <pt idx="25">
                  <v>241.540296745335</v>
                </pt>
                <pt idx="26">
                  <v>261.6678664350653</v>
                </pt>
                <pt idx="27">
                  <v>334.7292016157402</v>
                </pt>
                <pt idx="28">
                  <v>133.0533895582938</v>
                </pt>
                <pt idx="29">
                  <v>205.1542657468804</v>
                </pt>
                <pt idx="30">
                  <v>206.4792859314608</v>
                </pt>
                <pt idx="31">
                  <v>463.502354659653</v>
                </pt>
                <pt idx="32">
                  <v>226.3111530313057</v>
                </pt>
                <pt idx="33">
                  <v>242.7244996547033</v>
                </pt>
                <pt idx="34">
                  <v>108.9023480349305</v>
                </pt>
                <pt idx="35">
                  <v>158.3852326200015</v>
                </pt>
                <pt idx="36">
                  <v>189.6912824729059</v>
                </pt>
                <pt idx="37">
                  <v>370.6634898219259</v>
                </pt>
                <pt idx="38">
                  <v>370.9960278316377</v>
                </pt>
                <pt idx="39">
                  <v>431.5335590363107</v>
                </pt>
                <pt idx="40">
                  <v>255.2332431359773</v>
                </pt>
                <pt idx="41">
                  <v>239.1357408048952</v>
                </pt>
                <pt idx="42">
                  <v>207.8843522374534</v>
                </pt>
                <pt idx="43">
                  <v>326.6300533493014</v>
                </pt>
                <pt idx="44">
                  <formatCode>#,##0.0;[Red]\-#,##0.0</formatCode>
                  <v>299.0761039180591</v>
                </pt>
                <pt idx="45">
                  <formatCode>#,##0.0;[Red]\-#,##0.0</formatCode>
                  <v>222.1798881882013</v>
                </pt>
                <pt idx="46">
                  <formatCode>#,##0.0;[Red]\-#,##0.0</formatCode>
                  <v>247.4616634354196</v>
                </pt>
              </numCache>
            </numRef>
          </val>
          <smooth val="0"/>
        </ser>
        <ser>
          <idx val="1"/>
          <order val="1"/>
          <tx>
            <strRef>
              <f>集計!$D$39</f>
              <strCache>
                <ptCount val="1"/>
                <pt idx="0">
                  <v>建築費指数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集計!$E$39:$AY$39</f>
              <numCache>
                <formatCode xml:space="preserve">_ * #,##0.0_ ;_ * \-#,##0.0_ ;_ * "-"_ ;_ @_ </formatCode>
                <ptCount val="47"/>
                <pt idx="0">
                  <formatCode>General</formatCode>
                  <v>113.6</v>
                </pt>
                <pt idx="1">
                  <v>113.7</v>
                </pt>
                <pt idx="2">
                  <v>114.4</v>
                </pt>
                <pt idx="3">
                  <v>115.5</v>
                </pt>
                <pt idx="4">
                  <v>116.2</v>
                </pt>
                <pt idx="5">
                  <v>118.3</v>
                </pt>
                <pt idx="6">
                  <v>118.4</v>
                </pt>
                <pt idx="7">
                  <v>120.3</v>
                </pt>
                <pt idx="8">
                  <v>122.2</v>
                </pt>
                <pt idx="9">
                  <v>122.8</v>
                </pt>
                <pt idx="10">
                  <v>123.1</v>
                </pt>
                <pt idx="11">
                  <v>124.1</v>
                </pt>
                <pt idx="12">
                  <v>124.3</v>
                </pt>
                <pt idx="13">
                  <v>124.2</v>
                </pt>
                <pt idx="14">
                  <v>124.4</v>
                </pt>
                <pt idx="15">
                  <v>124.4</v>
                </pt>
                <pt idx="16">
                  <v>124.5</v>
                </pt>
                <pt idx="17">
                  <v>126.7</v>
                </pt>
                <pt idx="18">
                  <v>126.6</v>
                </pt>
                <pt idx="19">
                  <v>127</v>
                </pt>
                <pt idx="20">
                  <v>128.8</v>
                </pt>
                <pt idx="21">
                  <v>128.7</v>
                </pt>
                <pt idx="22">
                  <v>129.4</v>
                </pt>
                <pt idx="23">
                  <v>130.7</v>
                </pt>
                <pt idx="24">
                  <v>130.9</v>
                </pt>
                <pt idx="25">
                  <v>131</v>
                </pt>
                <pt idx="26">
                  <v>132</v>
                </pt>
                <pt idx="27">
                  <v>132.1</v>
                </pt>
                <pt idx="28">
                  <v>132.6</v>
                </pt>
                <pt idx="29">
                  <v>133.4</v>
                </pt>
                <pt idx="30">
                  <v>134.7</v>
                </pt>
                <pt idx="31">
                  <v>134.8</v>
                </pt>
                <pt idx="32">
                  <v>135.7</v>
                </pt>
                <pt idx="33">
                  <v>135.3</v>
                </pt>
                <pt idx="34">
                  <v>135.2</v>
                </pt>
                <pt idx="35">
                  <v>136.9</v>
                </pt>
                <pt idx="36">
                  <v>137</v>
                </pt>
                <pt idx="37">
                  <v>137</v>
                </pt>
                <pt idx="38">
                  <v>137.6</v>
                </pt>
                <pt idx="39">
                  <v>137.4</v>
                </pt>
                <pt idx="40">
                  <v>138</v>
                </pt>
                <pt idx="41">
                  <v>138.8</v>
                </pt>
                <pt idx="42">
                  <v>138.7</v>
                </pt>
                <pt idx="43">
                  <v>138.9</v>
                </pt>
                <pt idx="44">
                  <v>139.5</v>
                </pt>
                <pt idx="45">
                  <formatCode>General</formatCode>
                  <v>139.5</v>
                </pt>
                <pt idx="46">
                  <formatCode>General</formatCode>
                  <v>139.7</v>
                </pt>
              </numCache>
            </numRef>
          </val>
          <smooth val="0"/>
        </ser>
        <ser>
          <idx val="2"/>
          <order val="2"/>
          <tx>
            <strRef>
              <f>集計!$D$42</f>
              <strCache>
                <ptCount val="1"/>
                <pt idx="0">
                  <v>デフレーター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集計!$E$42:$AY$42</f>
              <numCache>
                <formatCode xml:space="preserve">#,##0.0_ </formatCode>
                <ptCount val="47"/>
                <pt idx="0">
                  <formatCode>General</formatCode>
                  <v>115.2</v>
                </pt>
                <pt idx="1">
                  <v>115.6</v>
                </pt>
                <pt idx="2">
                  <v>116.4</v>
                </pt>
                <pt idx="3">
                  <v>117.5</v>
                </pt>
                <pt idx="4">
                  <v>116.9</v>
                </pt>
                <pt idx="5">
                  <v>119.5</v>
                </pt>
                <pt idx="6">
                  <v>117.6</v>
                </pt>
                <pt idx="7">
                  <v>118.9</v>
                </pt>
                <pt idx="8">
                  <v>118.2</v>
                </pt>
                <pt idx="9">
                  <v>120.1</v>
                </pt>
                <pt idx="10">
                  <v>122</v>
                </pt>
                <pt idx="11">
                  <v>121.2</v>
                </pt>
                <pt idx="12">
                  <v>121.1</v>
                </pt>
                <pt idx="13">
                  <v>121.2</v>
                </pt>
                <pt idx="14">
                  <v>122.2</v>
                </pt>
                <pt idx="15">
                  <v>122.3</v>
                </pt>
                <pt idx="16">
                  <v>122.1</v>
                </pt>
                <pt idx="17">
                  <v>122.9</v>
                </pt>
                <pt idx="18">
                  <v>123.3</v>
                </pt>
                <pt idx="19">
                  <v>124</v>
                </pt>
                <pt idx="20">
                  <v>123.7</v>
                </pt>
                <pt idx="21">
                  <v>124.3</v>
                </pt>
                <pt idx="22">
                  <v>124.5</v>
                </pt>
                <pt idx="23">
                  <v>124.4</v>
                </pt>
                <pt idx="24">
                  <v>124.5</v>
                </pt>
                <pt idx="25">
                  <v>124.9</v>
                </pt>
                <pt idx="26">
                  <v>126.2</v>
                </pt>
                <pt idx="27">
                  <v>127.2</v>
                </pt>
                <pt idx="28">
                  <v>128.9</v>
                </pt>
                <pt idx="29">
                  <v>128.6</v>
                </pt>
                <pt idx="30">
                  <v>130.2</v>
                </pt>
                <pt idx="31">
                  <v>128.8</v>
                </pt>
                <pt idx="32">
                  <v>129</v>
                </pt>
                <pt idx="33">
                  <v>129</v>
                </pt>
                <pt idx="34">
                  <v>130.8</v>
                </pt>
                <pt idx="35">
                  <v>131.6</v>
                </pt>
                <pt idx="36">
                  <v>129.8</v>
                </pt>
                <pt idx="37">
                  <v>131.4</v>
                </pt>
                <pt idx="38">
                  <v>129.8</v>
                </pt>
                <pt idx="39">
                  <v>131.7</v>
                </pt>
                <pt idx="40">
                  <formatCode>General</formatCode>
                  <v>133.6</v>
                </pt>
                <pt idx="41">
                  <formatCode>General</formatCode>
                  <v>139</v>
                </pt>
                <pt idx="42">
                  <formatCode>General</formatCode>
                  <v>133.6</v>
                </pt>
                <pt idx="43">
                  <formatCode>General</formatCode>
                  <v>137.8</v>
                </pt>
                <pt idx="44">
                  <formatCode>General</formatCode>
                  <v>132.4</v>
                </pt>
                <pt idx="45">
                  <formatCode>General</formatCode>
                  <v>132.7</v>
                </pt>
                <pt idx="46">
                  <formatCode>0.0</formatCode>
                  <v>132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3528895"/>
        <axId val="823514495"/>
      </lineChart>
      <catAx>
        <axId val="8235288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823514495"/>
        <crosses val="autoZero"/>
        <auto val="1"/>
        <lblAlgn val="ctr"/>
        <lblOffset val="100"/>
        <noMultiLvlLbl val="0"/>
      </catAx>
      <valAx>
        <axId val="823514495"/>
        <scaling>
          <orientation val="minMax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82352889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集計!$D$36</f>
              <strCache>
                <ptCount val="1"/>
                <pt idx="0">
                  <v>建築物着工統計算出指数(S造/多用途建築物)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22225" cap="rnd">
                <a:solidFill>
                  <a:srgbClr val="0070C0"/>
                </a:solidFill>
                <a:prstDash val="sysDash"/>
              </a:ln>
            </spPr>
            <trendlineType val="movingAvg"/>
            <period val="12"/>
            <dispRSqr val="0"/>
            <dispEq val="0"/>
          </trendline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集計!$E$36:$AY$36</f>
              <numCache>
                <formatCode xml:space="preserve">#,##0.0_ </formatCode>
                <ptCount val="47"/>
                <pt idx="0">
                  <v>212.8760674836547</v>
                </pt>
                <pt idx="1">
                  <v>106.179223829025</v>
                </pt>
                <pt idx="2">
                  <v>170.585623283655</v>
                </pt>
                <pt idx="3">
                  <v>109.9878046225642</v>
                </pt>
                <pt idx="4">
                  <v>132.7185489902249</v>
                </pt>
                <pt idx="5">
                  <v>179.2729320218858</v>
                </pt>
                <pt idx="6">
                  <v>276.9297345820485</v>
                </pt>
                <pt idx="7">
                  <v>172.5018948989498</v>
                </pt>
                <pt idx="8">
                  <v>117.5578213393529</v>
                </pt>
                <pt idx="9">
                  <v>143.4635274599084</v>
                </pt>
                <pt idx="10">
                  <v>212.3160342862142</v>
                </pt>
                <pt idx="11">
                  <v>170.9890708104487</v>
                </pt>
                <pt idx="12">
                  <v>144.335863242685</v>
                </pt>
                <pt idx="13">
                  <v>355.0389387233345</v>
                </pt>
                <pt idx="14">
                  <v>106.0322334922087</v>
                </pt>
                <pt idx="15">
                  <v>205.2978025648283</v>
                </pt>
                <pt idx="16">
                  <v>146.7747729146649</v>
                </pt>
                <pt idx="17">
                  <v>238.0146763426092</v>
                </pt>
                <pt idx="18">
                  <v>248.0478426166647</v>
                </pt>
                <pt idx="19">
                  <v>232.8735452396064</v>
                </pt>
                <pt idx="20">
                  <v>226.4549566012897</v>
                </pt>
                <pt idx="21">
                  <v>215.9372659111647</v>
                </pt>
                <pt idx="22">
                  <v>199.243233785</v>
                </pt>
                <pt idx="23">
                  <v>302.511668156825</v>
                </pt>
                <pt idx="24">
                  <v>217.024460878473</v>
                </pt>
                <pt idx="25">
                  <v>241.540296745335</v>
                </pt>
                <pt idx="26">
                  <v>261.6678664350653</v>
                </pt>
                <pt idx="27">
                  <v>334.7292016157402</v>
                </pt>
                <pt idx="28">
                  <v>133.0533895582938</v>
                </pt>
                <pt idx="29">
                  <v>205.1542657468804</v>
                </pt>
                <pt idx="30">
                  <v>206.4792859314608</v>
                </pt>
                <pt idx="31">
                  <v>463.502354659653</v>
                </pt>
                <pt idx="32">
                  <v>226.3111530313057</v>
                </pt>
                <pt idx="33">
                  <v>242.7244996547033</v>
                </pt>
                <pt idx="34">
                  <v>108.9023480349305</v>
                </pt>
                <pt idx="35">
                  <v>158.3852326200015</v>
                </pt>
                <pt idx="36">
                  <v>189.6912824729059</v>
                </pt>
                <pt idx="37">
                  <v>370.6634898219259</v>
                </pt>
                <pt idx="38">
                  <v>370.9960278316377</v>
                </pt>
                <pt idx="39">
                  <v>431.5335590363107</v>
                </pt>
                <pt idx="40">
                  <v>255.2332431359773</v>
                </pt>
                <pt idx="41">
                  <v>239.1357408048952</v>
                </pt>
                <pt idx="42">
                  <v>207.8843522374534</v>
                </pt>
                <pt idx="43">
                  <v>326.6300533493014</v>
                </pt>
                <pt idx="44">
                  <formatCode>#,##0.0;[Red]\-#,##0.0</formatCode>
                  <v>299.0761039180591</v>
                </pt>
                <pt idx="45">
                  <formatCode>#,##0.0;[Red]\-#,##0.0</formatCode>
                  <v>222.1798881882013</v>
                </pt>
                <pt idx="46">
                  <formatCode>#,##0.0;[Red]\-#,##0.0</formatCode>
                  <v>247.4616634354196</v>
                </pt>
              </numCache>
            </numRef>
          </val>
          <smooth val="0"/>
        </ser>
        <ser>
          <idx val="1"/>
          <order val="1"/>
          <tx>
            <strRef>
              <f>集計!$D$39</f>
              <strCache>
                <ptCount val="1"/>
                <pt idx="0">
                  <v>建築費指数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集計!$E$39:$AY$39</f>
              <numCache>
                <formatCode xml:space="preserve">_ * #,##0.0_ ;_ * \-#,##0.0_ ;_ * "-"_ ;_ @_ </formatCode>
                <ptCount val="47"/>
                <pt idx="0">
                  <formatCode>General</formatCode>
                  <v>113.6</v>
                </pt>
                <pt idx="1">
                  <v>113.7</v>
                </pt>
                <pt idx="2">
                  <v>114.4</v>
                </pt>
                <pt idx="3">
                  <v>115.5</v>
                </pt>
                <pt idx="4">
                  <v>116.2</v>
                </pt>
                <pt idx="5">
                  <v>118.3</v>
                </pt>
                <pt idx="6">
                  <v>118.4</v>
                </pt>
                <pt idx="7">
                  <v>120.3</v>
                </pt>
                <pt idx="8">
                  <v>122.2</v>
                </pt>
                <pt idx="9">
                  <v>122.8</v>
                </pt>
                <pt idx="10">
                  <v>123.1</v>
                </pt>
                <pt idx="11">
                  <v>124.1</v>
                </pt>
                <pt idx="12">
                  <v>124.3</v>
                </pt>
                <pt idx="13">
                  <v>124.2</v>
                </pt>
                <pt idx="14">
                  <v>124.4</v>
                </pt>
                <pt idx="15">
                  <v>124.4</v>
                </pt>
                <pt idx="16">
                  <v>124.5</v>
                </pt>
                <pt idx="17">
                  <v>126.7</v>
                </pt>
                <pt idx="18">
                  <v>126.6</v>
                </pt>
                <pt idx="19">
                  <v>127</v>
                </pt>
                <pt idx="20">
                  <v>128.8</v>
                </pt>
                <pt idx="21">
                  <v>128.7</v>
                </pt>
                <pt idx="22">
                  <v>129.4</v>
                </pt>
                <pt idx="23">
                  <v>130.7</v>
                </pt>
                <pt idx="24">
                  <v>130.9</v>
                </pt>
                <pt idx="25">
                  <v>131</v>
                </pt>
                <pt idx="26">
                  <v>132</v>
                </pt>
                <pt idx="27">
                  <v>132.1</v>
                </pt>
                <pt idx="28">
                  <v>132.6</v>
                </pt>
                <pt idx="29">
                  <v>133.4</v>
                </pt>
                <pt idx="30">
                  <v>134.7</v>
                </pt>
                <pt idx="31">
                  <v>134.8</v>
                </pt>
                <pt idx="32">
                  <v>135.7</v>
                </pt>
                <pt idx="33">
                  <v>135.3</v>
                </pt>
                <pt idx="34">
                  <v>135.2</v>
                </pt>
                <pt idx="35">
                  <v>136.9</v>
                </pt>
                <pt idx="36">
                  <v>137</v>
                </pt>
                <pt idx="37">
                  <v>137</v>
                </pt>
                <pt idx="38">
                  <v>137.6</v>
                </pt>
                <pt idx="39">
                  <v>137.4</v>
                </pt>
                <pt idx="40">
                  <v>138</v>
                </pt>
                <pt idx="41">
                  <v>138.8</v>
                </pt>
                <pt idx="42">
                  <v>138.7</v>
                </pt>
                <pt idx="43">
                  <v>138.9</v>
                </pt>
                <pt idx="44">
                  <v>139.5</v>
                </pt>
                <pt idx="45">
                  <formatCode>General</formatCode>
                  <v>139.5</v>
                </pt>
                <pt idx="46">
                  <formatCode>General</formatCode>
                  <v>139.7</v>
                </pt>
              </numCache>
            </numRef>
          </val>
          <smooth val="0"/>
        </ser>
        <ser>
          <idx val="2"/>
          <order val="2"/>
          <tx>
            <strRef>
              <f>集計!$D$42</f>
              <strCache>
                <ptCount val="1"/>
                <pt idx="0">
                  <v>デフレーター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集計!$E$34:$AY$34</f>
              <strCache>
                <ptCount val="47"/>
                <pt idx="0">
                  <v>R4.1</v>
                </pt>
                <pt idx="1">
                  <v>R4.2</v>
                </pt>
                <pt idx="2">
                  <v>R4.3</v>
                </pt>
                <pt idx="3">
                  <v>R4.4</v>
                </pt>
                <pt idx="4">
                  <v>R4.5</v>
                </pt>
                <pt idx="5">
                  <v>R4.6</v>
                </pt>
                <pt idx="6">
                  <v>R4.7</v>
                </pt>
                <pt idx="7">
                  <v>R4.8</v>
                </pt>
                <pt idx="8">
                  <v>R4.9</v>
                </pt>
                <pt idx="9">
                  <v>R4.10</v>
                </pt>
                <pt idx="10">
                  <v>R4.11</v>
                </pt>
                <pt idx="11">
                  <v>R4.12</v>
                </pt>
                <pt idx="12">
                  <v>R5.1</v>
                </pt>
                <pt idx="13">
                  <v>R5.2</v>
                </pt>
                <pt idx="14">
                  <v>R5.3</v>
                </pt>
                <pt idx="15">
                  <v>R5.4</v>
                </pt>
                <pt idx="16">
                  <v>R5.5</v>
                </pt>
                <pt idx="17">
                  <v>R5.6</v>
                </pt>
                <pt idx="18">
                  <v>R5.7</v>
                </pt>
                <pt idx="19">
                  <v>R5.8</v>
                </pt>
                <pt idx="20">
                  <v>R5.9</v>
                </pt>
                <pt idx="21">
                  <v>R5.10</v>
                </pt>
                <pt idx="22">
                  <v>R5.11</v>
                </pt>
                <pt idx="23">
                  <v>R5.12</v>
                </pt>
                <pt idx="24">
                  <v>R6.1</v>
                </pt>
                <pt idx="25">
                  <v>R6.2</v>
                </pt>
                <pt idx="26">
                  <v>R6.3</v>
                </pt>
                <pt idx="27">
                  <v>R6.4</v>
                </pt>
                <pt idx="28">
                  <v>R6.5</v>
                </pt>
                <pt idx="29">
                  <v>R6.6</v>
                </pt>
                <pt idx="30">
                  <v>R6.7</v>
                </pt>
                <pt idx="31">
                  <v>R6.8</v>
                </pt>
                <pt idx="32">
                  <v>R6.9</v>
                </pt>
                <pt idx="33">
                  <v>R6.10</v>
                </pt>
                <pt idx="34">
                  <v>R6.11</v>
                </pt>
                <pt idx="35">
                  <v>R6.12</v>
                </pt>
                <pt idx="36">
                  <v>R7.1</v>
                </pt>
                <pt idx="37">
                  <v>R7.2</v>
                </pt>
                <pt idx="38">
                  <v>R7.3</v>
                </pt>
                <pt idx="39">
                  <v>R7.4</v>
                </pt>
                <pt idx="40">
                  <v>R7.5</v>
                </pt>
                <pt idx="41">
                  <v>R7.6</v>
                </pt>
                <pt idx="42">
                  <v>R7.7</v>
                </pt>
                <pt idx="43">
                  <v>R7.8</v>
                </pt>
                <pt idx="44">
                  <v>R7.9</v>
                </pt>
                <pt idx="45">
                  <v>R7.10</v>
                </pt>
                <pt idx="46">
                  <v>R7.11</v>
                </pt>
              </strCache>
            </strRef>
          </cat>
          <val>
            <numRef>
              <f>集計!$E$42:$AY$42</f>
              <numCache>
                <formatCode xml:space="preserve">#,##0.0_ </formatCode>
                <ptCount val="47"/>
                <pt idx="0">
                  <formatCode>General</formatCode>
                  <v>115.2</v>
                </pt>
                <pt idx="1">
                  <v>115.6</v>
                </pt>
                <pt idx="2">
                  <v>116.4</v>
                </pt>
                <pt idx="3">
                  <v>117.5</v>
                </pt>
                <pt idx="4">
                  <v>116.9</v>
                </pt>
                <pt idx="5">
                  <v>119.5</v>
                </pt>
                <pt idx="6">
                  <v>117.6</v>
                </pt>
                <pt idx="7">
                  <v>118.9</v>
                </pt>
                <pt idx="8">
                  <v>118.2</v>
                </pt>
                <pt idx="9">
                  <v>120.1</v>
                </pt>
                <pt idx="10">
                  <v>122</v>
                </pt>
                <pt idx="11">
                  <v>121.2</v>
                </pt>
                <pt idx="12">
                  <v>121.1</v>
                </pt>
                <pt idx="13">
                  <v>121.2</v>
                </pt>
                <pt idx="14">
                  <v>122.2</v>
                </pt>
                <pt idx="15">
                  <v>122.3</v>
                </pt>
                <pt idx="16">
                  <v>122.1</v>
                </pt>
                <pt idx="17">
                  <v>122.9</v>
                </pt>
                <pt idx="18">
                  <v>123.3</v>
                </pt>
                <pt idx="19">
                  <v>124</v>
                </pt>
                <pt idx="20">
                  <v>123.7</v>
                </pt>
                <pt idx="21">
                  <v>124.3</v>
                </pt>
                <pt idx="22">
                  <v>124.5</v>
                </pt>
                <pt idx="23">
                  <v>124.4</v>
                </pt>
                <pt idx="24">
                  <v>124.5</v>
                </pt>
                <pt idx="25">
                  <v>124.9</v>
                </pt>
                <pt idx="26">
                  <v>126.2</v>
                </pt>
                <pt idx="27">
                  <v>127.2</v>
                </pt>
                <pt idx="28">
                  <v>128.9</v>
                </pt>
                <pt idx="29">
                  <v>128.6</v>
                </pt>
                <pt idx="30">
                  <v>130.2</v>
                </pt>
                <pt idx="31">
                  <v>128.8</v>
                </pt>
                <pt idx="32">
                  <v>129</v>
                </pt>
                <pt idx="33">
                  <v>129</v>
                </pt>
                <pt idx="34">
                  <v>130.8</v>
                </pt>
                <pt idx="35">
                  <v>131.6</v>
                </pt>
                <pt idx="36">
                  <v>129.8</v>
                </pt>
                <pt idx="37">
                  <v>131.4</v>
                </pt>
                <pt idx="38">
                  <v>129.8</v>
                </pt>
                <pt idx="39">
                  <v>131.7</v>
                </pt>
                <pt idx="40">
                  <formatCode>General</formatCode>
                  <v>133.6</v>
                </pt>
                <pt idx="41">
                  <formatCode>General</formatCode>
                  <v>139</v>
                </pt>
                <pt idx="42">
                  <formatCode>General</formatCode>
                  <v>133.6</v>
                </pt>
                <pt idx="43">
                  <formatCode>General</formatCode>
                  <v>137.8</v>
                </pt>
                <pt idx="44">
                  <formatCode>General</formatCode>
                  <v>132.4</v>
                </pt>
                <pt idx="45">
                  <formatCode>General</formatCode>
                  <v>132.7</v>
                </pt>
                <pt idx="46">
                  <formatCode>0.0</formatCode>
                  <v>132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3528895"/>
        <axId val="823514495"/>
      </lineChart>
      <catAx>
        <axId val="8235288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823514495"/>
        <crosses val="autoZero"/>
        <auto val="1"/>
        <lblAlgn val="ctr"/>
        <lblOffset val="100"/>
        <noMultiLvlLbl val="0"/>
      </catAx>
      <valAx>
        <axId val="823514495"/>
        <scaling>
          <orientation val="minMax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82352889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31</col>
      <colOff>190500</colOff>
      <row>49</row>
      <rowOff>0</rowOff>
    </from>
    <to>
      <col>51</col>
      <colOff>464911</colOff>
      <row>86</row>
      <rowOff>107042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219075</colOff>
      <row>16</row>
      <rowOff>111126</rowOff>
    </from>
    <to>
      <col>21</col>
      <colOff>112486</colOff>
      <row>46</row>
      <rowOff>122918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www.e-stat.go.jp/stat-search/files?page=1&amp;toukei=00600120&amp;tstat=00000101696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selection activeCell="A1" sqref="A1"/>
    </sheetView>
  </sheetViews>
  <sheetFormatPr baseColWidth="8" defaultColWidth="8.69921875" defaultRowHeight="18"/>
  <cols>
    <col width="2.796875" customWidth="1" style="2" min="1" max="1"/>
    <col width="14.296875" bestFit="1" customWidth="1" style="2" min="2" max="2"/>
    <col width="11.59765625" customWidth="1" style="2" min="3" max="88"/>
    <col width="8.69921875" customWidth="1" style="2" min="89" max="16384"/>
  </cols>
  <sheetData>
    <row r="1" ht="19.8" customHeight="1">
      <c r="A1" s="1" t="inlineStr">
        <is>
          <t>鉄骨鉄筋コンクリート造</t>
        </is>
      </c>
    </row>
    <row r="2" ht="20.4" customHeight="1" thickBot="1">
      <c r="A2" s="1" t="n"/>
    </row>
    <row r="3">
      <c r="C3" s="4" t="inlineStr">
        <is>
          <t>2015（基準）</t>
        </is>
      </c>
      <c r="D3" s="5" t="n"/>
      <c r="E3" s="5" t="n"/>
      <c r="F3" s="6" t="n"/>
      <c r="G3" s="4" t="inlineStr">
        <is>
          <t>令和4年2月分</t>
        </is>
      </c>
      <c r="H3" s="5" t="n"/>
      <c r="I3" s="5" t="n"/>
      <c r="J3" s="6" t="n"/>
      <c r="K3" s="4" t="inlineStr">
        <is>
          <t>令和4年5月分</t>
        </is>
      </c>
      <c r="L3" s="5" t="n"/>
      <c r="M3" s="5" t="n"/>
      <c r="N3" s="6" t="n"/>
      <c r="O3" s="4" t="inlineStr">
        <is>
          <t>令和4年8月分</t>
        </is>
      </c>
      <c r="P3" s="5" t="n"/>
      <c r="Q3" s="5" t="n"/>
      <c r="R3" s="6" t="n"/>
      <c r="S3" s="4" t="inlineStr">
        <is>
          <t>令和4年11月分</t>
        </is>
      </c>
      <c r="T3" s="5" t="n"/>
      <c r="U3" s="5" t="n"/>
      <c r="V3" s="6" t="n"/>
      <c r="W3" s="4" t="inlineStr">
        <is>
          <t>令和5年2月分</t>
        </is>
      </c>
      <c r="X3" s="5" t="n"/>
      <c r="Y3" s="5" t="n"/>
      <c r="Z3" s="6" t="n"/>
      <c r="AA3" s="4" t="inlineStr">
        <is>
          <t>令和5年5月分</t>
        </is>
      </c>
      <c r="AB3" s="5" t="n"/>
      <c r="AC3" s="5" t="n"/>
      <c r="AD3" s="6" t="n"/>
      <c r="AE3" s="4" t="inlineStr">
        <is>
          <t>令和5年8月分</t>
        </is>
      </c>
      <c r="AF3" s="5" t="n"/>
      <c r="AG3" s="5" t="n"/>
      <c r="AH3" s="6" t="n"/>
      <c r="AI3" s="4" t="inlineStr">
        <is>
          <t>令和5年11月分</t>
        </is>
      </c>
      <c r="AJ3" s="5" t="n"/>
      <c r="AK3" s="5" t="n"/>
      <c r="AL3" s="6" t="n"/>
      <c r="AM3" s="4" t="inlineStr">
        <is>
          <t>令和6年2月分</t>
        </is>
      </c>
      <c r="AN3" s="5" t="n"/>
      <c r="AO3" s="5" t="n"/>
      <c r="AP3" s="6" t="n"/>
      <c r="AQ3" s="4" t="inlineStr">
        <is>
          <t>令和6年5月分</t>
        </is>
      </c>
      <c r="AR3" s="5" t="n"/>
      <c r="AS3" s="5" t="n"/>
      <c r="AT3" s="6" t="n"/>
      <c r="AU3" s="4" t="inlineStr">
        <is>
          <t>令和6年8月分</t>
        </is>
      </c>
      <c r="AV3" s="5" t="n"/>
      <c r="AW3" s="5" t="n"/>
      <c r="AX3" s="6" t="n"/>
      <c r="AY3" s="4" t="inlineStr">
        <is>
          <t>令和6年11月分</t>
        </is>
      </c>
      <c r="AZ3" s="5" t="n"/>
      <c r="BA3" s="5" t="n"/>
      <c r="BB3" s="6" t="n"/>
      <c r="BC3" s="4" t="inlineStr">
        <is>
          <t>令和7年2月分</t>
        </is>
      </c>
      <c r="BD3" s="5" t="n"/>
      <c r="BE3" s="5" t="n"/>
      <c r="BF3" s="6" t="n"/>
      <c r="BG3" s="4" t="inlineStr">
        <is>
          <t>令和7年5月分</t>
        </is>
      </c>
      <c r="BH3" s="5" t="n"/>
      <c r="BI3" s="5" t="n"/>
      <c r="BJ3" s="6" t="n"/>
    </row>
    <row r="4" ht="45" customHeight="1">
      <c r="C4" s="7" t="inlineStr">
        <is>
          <t>床面積の合計　（㎡）</t>
        </is>
      </c>
      <c r="D4" s="8" t="inlineStr">
        <is>
          <t>工事費予定額（万円）</t>
        </is>
      </c>
      <c r="E4" s="9" t="inlineStr">
        <is>
          <t>面積単価
（万円/㎡）</t>
        </is>
      </c>
      <c r="F4" s="10" t="inlineStr">
        <is>
          <t>面積単価
（万円/坪）</t>
        </is>
      </c>
      <c r="G4" s="7" t="inlineStr">
        <is>
          <t>床面積の合計　（㎡）</t>
        </is>
      </c>
      <c r="H4" s="8" t="inlineStr">
        <is>
          <t>工事費予定額（万円）</t>
        </is>
      </c>
      <c r="I4" s="9" t="inlineStr">
        <is>
          <t>面積単価
（万円/㎡）</t>
        </is>
      </c>
      <c r="J4" s="10" t="inlineStr">
        <is>
          <t>面積単価
（万円/坪）</t>
        </is>
      </c>
      <c r="K4" s="7" t="inlineStr">
        <is>
          <t>床面積の合計　（㎡）</t>
        </is>
      </c>
      <c r="L4" s="8" t="inlineStr">
        <is>
          <t>工事費予定額（万円）</t>
        </is>
      </c>
      <c r="M4" s="9" t="inlineStr">
        <is>
          <t>面積単価
（万円/㎡）</t>
        </is>
      </c>
      <c r="N4" s="10" t="inlineStr">
        <is>
          <t>面積単価
（万円/坪）</t>
        </is>
      </c>
      <c r="O4" s="7" t="inlineStr">
        <is>
          <t>床面積の合計　（㎡）</t>
        </is>
      </c>
      <c r="P4" s="8" t="inlineStr">
        <is>
          <t>工事費予定額（万円）</t>
        </is>
      </c>
      <c r="Q4" s="9" t="inlineStr">
        <is>
          <t>面積単価
（万円/㎡）</t>
        </is>
      </c>
      <c r="R4" s="10" t="inlineStr">
        <is>
          <t>面積単価
（万円/坪）</t>
        </is>
      </c>
      <c r="S4" s="7" t="inlineStr">
        <is>
          <t>床面積の合計　（㎡）</t>
        </is>
      </c>
      <c r="T4" s="8" t="inlineStr">
        <is>
          <t>工事費予定額（万円）</t>
        </is>
      </c>
      <c r="U4" s="9" t="inlineStr">
        <is>
          <t>面積単価
（万円/㎡）</t>
        </is>
      </c>
      <c r="V4" s="10" t="inlineStr">
        <is>
          <t>面積単価
（万円/坪）</t>
        </is>
      </c>
      <c r="W4" s="7" t="inlineStr">
        <is>
          <t>床面積の合計　（㎡）</t>
        </is>
      </c>
      <c r="X4" s="8" t="inlineStr">
        <is>
          <t>工事費予定額（万円）</t>
        </is>
      </c>
      <c r="Y4" s="9" t="inlineStr">
        <is>
          <t>面積単価
（万円/㎡）</t>
        </is>
      </c>
      <c r="Z4" s="10" t="inlineStr">
        <is>
          <t>面積単価
（万円/坪）</t>
        </is>
      </c>
      <c r="AA4" s="7" t="inlineStr">
        <is>
          <t>床面積の合計　（㎡）</t>
        </is>
      </c>
      <c r="AB4" s="8" t="inlineStr">
        <is>
          <t>工事費予定額（万円）</t>
        </is>
      </c>
      <c r="AC4" s="9" t="inlineStr">
        <is>
          <t>面積単価
（万円/㎡）</t>
        </is>
      </c>
      <c r="AD4" s="10" t="inlineStr">
        <is>
          <t>面積単価
（万円/坪）</t>
        </is>
      </c>
      <c r="AE4" s="7" t="inlineStr">
        <is>
          <t>床面積の合計　（㎡）</t>
        </is>
      </c>
      <c r="AF4" s="8" t="inlineStr">
        <is>
          <t>工事費予定額（万円）</t>
        </is>
      </c>
      <c r="AG4" s="9" t="inlineStr">
        <is>
          <t>面積単価
（万円/㎡）</t>
        </is>
      </c>
      <c r="AH4" s="10" t="inlineStr">
        <is>
          <t>面積単価
（万円/坪）</t>
        </is>
      </c>
      <c r="AI4" s="7" t="inlineStr">
        <is>
          <t>床面積の合計　（㎡）</t>
        </is>
      </c>
      <c r="AJ4" s="8" t="inlineStr">
        <is>
          <t>工事費予定額（万円）</t>
        </is>
      </c>
      <c r="AK4" s="9" t="inlineStr">
        <is>
          <t>面積単価
（万円/㎡）</t>
        </is>
      </c>
      <c r="AL4" s="10" t="inlineStr">
        <is>
          <t>面積単価
（万円/坪）</t>
        </is>
      </c>
      <c r="AM4" s="7" t="inlineStr">
        <is>
          <t>床面積の合計　（㎡）</t>
        </is>
      </c>
      <c r="AN4" s="8" t="inlineStr">
        <is>
          <t>工事費予定額（万円）</t>
        </is>
      </c>
      <c r="AO4" s="9" t="inlineStr">
        <is>
          <t>面積単価
（万円/㎡）</t>
        </is>
      </c>
      <c r="AP4" s="10" t="inlineStr">
        <is>
          <t>面積単価
（万円/坪）</t>
        </is>
      </c>
      <c r="AQ4" s="7" t="inlineStr">
        <is>
          <t>床面積の合計　（㎡）</t>
        </is>
      </c>
      <c r="AR4" s="8" t="inlineStr">
        <is>
          <t>工事費予定額（万円）</t>
        </is>
      </c>
      <c r="AS4" s="9" t="inlineStr">
        <is>
          <t>面積単価
（万円/㎡）</t>
        </is>
      </c>
      <c r="AT4" s="10" t="inlineStr">
        <is>
          <t>面積単価
（万円/坪）</t>
        </is>
      </c>
      <c r="AU4" s="7" t="inlineStr">
        <is>
          <t>床面積の合計　（㎡）</t>
        </is>
      </c>
      <c r="AV4" s="8" t="inlineStr">
        <is>
          <t>工事費予定額（万円）</t>
        </is>
      </c>
      <c r="AW4" s="9" t="inlineStr">
        <is>
          <t>面積単価
（万円/㎡）</t>
        </is>
      </c>
      <c r="AX4" s="10" t="inlineStr">
        <is>
          <t>面積単価
（万円/坪）</t>
        </is>
      </c>
      <c r="AY4" s="7" t="inlineStr">
        <is>
          <t>床面積の合計　（㎡）</t>
        </is>
      </c>
      <c r="AZ4" s="8" t="inlineStr">
        <is>
          <t>工事費予定額（万円）</t>
        </is>
      </c>
      <c r="BA4" s="9" t="inlineStr">
        <is>
          <t>面積単価
（万円/㎡）</t>
        </is>
      </c>
      <c r="BB4" s="10" t="inlineStr">
        <is>
          <t>面積単価
（万円/坪）</t>
        </is>
      </c>
      <c r="BC4" s="7" t="inlineStr">
        <is>
          <t>床面積の合計　（㎡）</t>
        </is>
      </c>
      <c r="BD4" s="8" t="inlineStr">
        <is>
          <t>工事費予定額（万円）</t>
        </is>
      </c>
      <c r="BE4" s="9" t="inlineStr">
        <is>
          <t>面積単価
（万円/㎡）</t>
        </is>
      </c>
      <c r="BF4" s="10" t="inlineStr">
        <is>
          <t>面積単価
（万円/坪）</t>
        </is>
      </c>
      <c r="BG4" s="7" t="inlineStr">
        <is>
          <t>床面積の合計　（㎡）</t>
        </is>
      </c>
      <c r="BH4" s="8" t="inlineStr">
        <is>
          <t>工事費予定額（万円）</t>
        </is>
      </c>
      <c r="BI4" s="9" t="inlineStr">
        <is>
          <t>面積単価
（万円/㎡）</t>
        </is>
      </c>
      <c r="BJ4" s="10" t="inlineStr">
        <is>
          <t>面積単価
（万円/坪）</t>
        </is>
      </c>
    </row>
    <row r="5">
      <c r="B5" s="2" t="inlineStr">
        <is>
          <t>事務所</t>
        </is>
      </c>
      <c r="C5" s="11" t="n">
        <v>376276</v>
      </c>
      <c r="D5" s="31" t="n">
        <v>14713671</v>
      </c>
      <c r="E5" s="40">
        <f>D5/C5</f>
        <v/>
      </c>
      <c r="F5" s="41">
        <f>E5*3.30578512</f>
        <v/>
      </c>
      <c r="G5" s="11" t="n">
        <v>14473</v>
      </c>
      <c r="H5" s="31" t="n">
        <v>703002</v>
      </c>
      <c r="I5" s="40">
        <f>H5/G5</f>
        <v/>
      </c>
      <c r="J5" s="41">
        <f>I5*3.30578512</f>
        <v/>
      </c>
      <c r="K5" s="11" t="n">
        <v>12930</v>
      </c>
      <c r="L5" s="31" t="n">
        <v>468976</v>
      </c>
      <c r="M5" s="40">
        <f>L5/K5</f>
        <v/>
      </c>
      <c r="N5" s="41">
        <f>M5*3.30578512</f>
        <v/>
      </c>
      <c r="O5" s="11" t="n">
        <v>2176</v>
      </c>
      <c r="P5" s="31" t="n">
        <v>33947</v>
      </c>
      <c r="Q5" s="40">
        <f>P5/O5</f>
        <v/>
      </c>
      <c r="R5" s="41">
        <f>Q5*3.30578512</f>
        <v/>
      </c>
      <c r="S5" s="11" t="n">
        <v>6950</v>
      </c>
      <c r="T5" s="31" t="n">
        <v>278981</v>
      </c>
      <c r="U5" s="40">
        <f>T5/S5</f>
        <v/>
      </c>
      <c r="V5" s="41">
        <f>U5*3.30578512</f>
        <v/>
      </c>
      <c r="W5" s="11" t="n">
        <v>15791</v>
      </c>
      <c r="X5" s="31" t="n">
        <v>679000</v>
      </c>
      <c r="Y5" s="40">
        <f>X5/W5</f>
        <v/>
      </c>
      <c r="Z5" s="41">
        <f>Y5*3.30578512</f>
        <v/>
      </c>
      <c r="AA5" s="11" t="n">
        <v>13436</v>
      </c>
      <c r="AB5" s="31" t="n">
        <v>844000</v>
      </c>
      <c r="AC5" s="40">
        <f>AB5/AA5</f>
        <v/>
      </c>
      <c r="AD5" s="41">
        <f>AC5*3.30578512</f>
        <v/>
      </c>
      <c r="AE5" s="11" t="n">
        <v>29255</v>
      </c>
      <c r="AF5" s="31" t="n">
        <v>1503500</v>
      </c>
      <c r="AG5" s="40">
        <f>AF5/AE5</f>
        <v/>
      </c>
      <c r="AH5" s="41">
        <f>AG5*3.30578512</f>
        <v/>
      </c>
      <c r="AI5" s="11" t="n">
        <v>6133</v>
      </c>
      <c r="AJ5" s="31" t="n">
        <v>385200</v>
      </c>
      <c r="AK5" s="40">
        <f>AJ5/AI5</f>
        <v/>
      </c>
      <c r="AL5" s="41">
        <f>AK5*3.30578512</f>
        <v/>
      </c>
      <c r="AM5" s="11" t="n">
        <v>0</v>
      </c>
      <c r="AN5" s="31" t="n">
        <v>0</v>
      </c>
      <c r="AO5" s="40">
        <f>AN5/AM5</f>
        <v/>
      </c>
      <c r="AP5" s="41">
        <f>AO5*3.30578512</f>
        <v/>
      </c>
      <c r="AQ5" s="11" t="n">
        <v>73716</v>
      </c>
      <c r="AR5" s="31" t="n">
        <v>4000000</v>
      </c>
      <c r="AS5" s="40">
        <f>AR5/AQ5</f>
        <v/>
      </c>
      <c r="AT5" s="41">
        <f>AS5*3.30578512</f>
        <v/>
      </c>
      <c r="AU5" s="11" t="n">
        <v>3487</v>
      </c>
      <c r="AV5" s="31" t="n">
        <v>213200</v>
      </c>
      <c r="AW5" s="40">
        <f>AV5/AU5</f>
        <v/>
      </c>
      <c r="AX5" s="41">
        <f>AW5*3.30578512</f>
        <v/>
      </c>
      <c r="AY5" s="11" t="n">
        <v>43887</v>
      </c>
      <c r="AZ5" s="31" t="n">
        <v>2383000</v>
      </c>
      <c r="BA5" s="40">
        <f>AZ5/AY5</f>
        <v/>
      </c>
      <c r="BB5" s="41">
        <f>BA5*3.30578512</f>
        <v/>
      </c>
      <c r="BC5" s="11" t="n">
        <v>3548</v>
      </c>
      <c r="BD5" s="31" t="n">
        <v>325057.03864</v>
      </c>
      <c r="BE5" s="40">
        <f>BD5/BC5</f>
        <v/>
      </c>
      <c r="BF5" s="41">
        <f>BE5*3.30578512</f>
        <v/>
      </c>
      <c r="BG5" s="11" t="n">
        <v>1988</v>
      </c>
      <c r="BH5" s="31" t="n">
        <v>96136</v>
      </c>
      <c r="BI5" s="40">
        <f>BH5/BG5</f>
        <v/>
      </c>
      <c r="BJ5" s="41">
        <f>BI5*3.30578512</f>
        <v/>
      </c>
    </row>
    <row r="6">
      <c r="B6" s="2" t="inlineStr">
        <is>
          <t>店舗</t>
        </is>
      </c>
      <c r="C6" s="11" t="n">
        <v>47766</v>
      </c>
      <c r="D6" s="31" t="n">
        <v>1192080</v>
      </c>
      <c r="E6" s="40">
        <f>D6/C6</f>
        <v/>
      </c>
      <c r="F6" s="41">
        <f>E6*3.30578512</f>
        <v/>
      </c>
      <c r="G6" s="11" t="n">
        <v>505</v>
      </c>
      <c r="H6" s="31" t="n">
        <v>30000</v>
      </c>
      <c r="I6" s="40">
        <f>H6/G6</f>
        <v/>
      </c>
      <c r="J6" s="41">
        <f>I6*3.30578512</f>
        <v/>
      </c>
      <c r="K6" s="11" t="n">
        <v>178</v>
      </c>
      <c r="L6" s="31" t="n">
        <v>2250</v>
      </c>
      <c r="M6" s="40">
        <f>L6/K6</f>
        <v/>
      </c>
      <c r="N6" s="41">
        <f>M6*3.30578512</f>
        <v/>
      </c>
      <c r="O6" s="11" t="n">
        <v>7218</v>
      </c>
      <c r="P6" s="31" t="n">
        <v>122430</v>
      </c>
      <c r="Q6" s="40">
        <f>P6/O6</f>
        <v/>
      </c>
      <c r="R6" s="41">
        <f>Q6*3.30578512</f>
        <v/>
      </c>
      <c r="S6" s="11" t="n">
        <v>1194</v>
      </c>
      <c r="T6" s="31" t="n">
        <v>10000</v>
      </c>
      <c r="U6" s="40">
        <f>T6/S6</f>
        <v/>
      </c>
      <c r="V6" s="41">
        <f>U6*3.30578512</f>
        <v/>
      </c>
      <c r="W6" s="11" t="n">
        <v>5739</v>
      </c>
      <c r="X6" s="31" t="n">
        <v>177000</v>
      </c>
      <c r="Y6" s="40">
        <f>X6/W6</f>
        <v/>
      </c>
      <c r="Z6" s="41">
        <f>Y6*3.30578512</f>
        <v/>
      </c>
      <c r="AA6" s="11" t="n">
        <v>0</v>
      </c>
      <c r="AB6" s="31" t="n">
        <v>0</v>
      </c>
      <c r="AC6" s="40">
        <f>AB6/AA6</f>
        <v/>
      </c>
      <c r="AD6" s="41">
        <f>AC6*3.30578512</f>
        <v/>
      </c>
      <c r="AE6" s="11" t="n">
        <v>309</v>
      </c>
      <c r="AF6" s="31" t="n">
        <v>30000</v>
      </c>
      <c r="AG6" s="40">
        <f>AF6/AE6</f>
        <v/>
      </c>
      <c r="AH6" s="41">
        <f>AG6*3.30578512</f>
        <v/>
      </c>
      <c r="AI6" s="11" t="n">
        <v>0</v>
      </c>
      <c r="AJ6" s="31" t="n">
        <v>0</v>
      </c>
      <c r="AK6" s="40">
        <f>AJ6/AI6</f>
        <v/>
      </c>
      <c r="AL6" s="41">
        <f>AK6*3.30578512</f>
        <v/>
      </c>
      <c r="AM6" s="11" t="n">
        <v>0</v>
      </c>
      <c r="AN6" s="31" t="n">
        <v>0</v>
      </c>
      <c r="AO6" s="40">
        <f>AN6/AM6</f>
        <v/>
      </c>
      <c r="AP6" s="41">
        <f>AO6*3.30578512</f>
        <v/>
      </c>
      <c r="AQ6" s="11" t="n">
        <v>285</v>
      </c>
      <c r="AR6" s="31" t="n">
        <v>100</v>
      </c>
      <c r="AS6" s="40">
        <f>AR6/AQ6</f>
        <v/>
      </c>
      <c r="AT6" s="41">
        <f>AS6*3.30578512</f>
        <v/>
      </c>
      <c r="AU6" s="11" t="n">
        <v>243</v>
      </c>
      <c r="AV6" s="31" t="n">
        <v>16057</v>
      </c>
      <c r="AW6" s="40">
        <f>AV6/AU6</f>
        <v/>
      </c>
      <c r="AX6" s="41">
        <f>AW6*3.30578512</f>
        <v/>
      </c>
      <c r="AY6" s="11" t="n">
        <v>120</v>
      </c>
      <c r="AZ6" s="31" t="n">
        <v>1650</v>
      </c>
      <c r="BA6" s="40">
        <f>AZ6/AY6</f>
        <v/>
      </c>
      <c r="BB6" s="41">
        <f>BA6*3.30578512</f>
        <v/>
      </c>
      <c r="BC6" s="11" t="n">
        <v>0</v>
      </c>
      <c r="BD6" s="31" t="n">
        <v>0</v>
      </c>
      <c r="BE6" s="40">
        <f>BD6/BC6</f>
        <v/>
      </c>
      <c r="BF6" s="41">
        <f>BE6*3.30578512</f>
        <v/>
      </c>
      <c r="BG6" s="11" t="n">
        <v>173</v>
      </c>
      <c r="BH6" s="31" t="n">
        <v>5000</v>
      </c>
      <c r="BI6" s="40">
        <f>BH6/BG6</f>
        <v/>
      </c>
      <c r="BJ6" s="41">
        <f>BI6*3.30578512</f>
        <v/>
      </c>
    </row>
    <row r="7">
      <c r="B7" s="2" t="inlineStr">
        <is>
          <t>工場及び作業場</t>
        </is>
      </c>
      <c r="C7" s="11" t="n">
        <v>99563</v>
      </c>
      <c r="D7" s="31" t="n">
        <v>2195253</v>
      </c>
      <c r="E7" s="40">
        <f>D7/C7</f>
        <v/>
      </c>
      <c r="F7" s="41">
        <f>E7*3.30578512</f>
        <v/>
      </c>
      <c r="G7" s="11" t="n">
        <v>42149</v>
      </c>
      <c r="H7" s="31" t="n">
        <v>1962412</v>
      </c>
      <c r="I7" s="40">
        <f>H7/G7</f>
        <v/>
      </c>
      <c r="J7" s="41">
        <f>I7*3.30578512</f>
        <v/>
      </c>
      <c r="K7" s="11" t="n">
        <v>233702</v>
      </c>
      <c r="L7" s="31" t="n">
        <v>16079466</v>
      </c>
      <c r="M7" s="40">
        <f>L7/K7</f>
        <v/>
      </c>
      <c r="N7" s="41">
        <f>M7*3.30578512</f>
        <v/>
      </c>
      <c r="O7" s="11" t="n">
        <v>540</v>
      </c>
      <c r="P7" s="31" t="n">
        <v>10000</v>
      </c>
      <c r="Q7" s="40">
        <f>P7/O7</f>
        <v/>
      </c>
      <c r="R7" s="41">
        <f>Q7*3.30578512</f>
        <v/>
      </c>
      <c r="S7" s="11" t="n">
        <v>0</v>
      </c>
      <c r="T7" s="31" t="n">
        <v>0</v>
      </c>
      <c r="U7" s="40">
        <f>T7/S7</f>
        <v/>
      </c>
      <c r="V7" s="41">
        <f>U7*3.30578512</f>
        <v/>
      </c>
      <c r="W7" s="11" t="n">
        <v>779</v>
      </c>
      <c r="X7" s="31" t="n">
        <v>15879</v>
      </c>
      <c r="Y7" s="40">
        <f>X7/W7</f>
        <v/>
      </c>
      <c r="Z7" s="41">
        <f>Y7*3.30578512</f>
        <v/>
      </c>
      <c r="AA7" s="11" t="n">
        <v>0</v>
      </c>
      <c r="AB7" s="31" t="n">
        <v>0</v>
      </c>
      <c r="AC7" s="40">
        <f>AB7/AA7</f>
        <v/>
      </c>
      <c r="AD7" s="41">
        <f>AC7*3.30578512</f>
        <v/>
      </c>
      <c r="AE7" s="11" t="n">
        <v>22641</v>
      </c>
      <c r="AF7" s="31" t="n">
        <v>315800</v>
      </c>
      <c r="AG7" s="40">
        <f>AF7/AE7</f>
        <v/>
      </c>
      <c r="AH7" s="41">
        <f>AG7*3.30578512</f>
        <v/>
      </c>
      <c r="AI7" s="11" t="n">
        <v>0</v>
      </c>
      <c r="AJ7" s="31" t="n">
        <v>0</v>
      </c>
      <c r="AK7" s="40">
        <f>AJ7/AI7</f>
        <v/>
      </c>
      <c r="AL7" s="41">
        <f>AK7*3.30578512</f>
        <v/>
      </c>
      <c r="AM7" s="11" t="n">
        <v>10032</v>
      </c>
      <c r="AN7" s="31" t="n">
        <v>459980</v>
      </c>
      <c r="AO7" s="40">
        <f>AN7/AM7</f>
        <v/>
      </c>
      <c r="AP7" s="41">
        <f>AO7*3.30578512</f>
        <v/>
      </c>
      <c r="AQ7" s="11" t="n">
        <v>0</v>
      </c>
      <c r="AR7" s="31" t="n">
        <v>0</v>
      </c>
      <c r="AS7" s="40">
        <f>AR7/AQ7</f>
        <v/>
      </c>
      <c r="AT7" s="41">
        <f>AS7*3.30578512</f>
        <v/>
      </c>
      <c r="AU7" s="11" t="n">
        <v>39086</v>
      </c>
      <c r="AV7" s="31" t="n">
        <v>2340000</v>
      </c>
      <c r="AW7" s="40">
        <f>AV7/AU7</f>
        <v/>
      </c>
      <c r="AX7" s="41">
        <f>AW7*3.30578512</f>
        <v/>
      </c>
      <c r="AY7" s="11" t="n">
        <v>181</v>
      </c>
      <c r="AZ7" s="31" t="n">
        <v>6000</v>
      </c>
      <c r="BA7" s="40">
        <f>AZ7/AY7</f>
        <v/>
      </c>
      <c r="BB7" s="41">
        <f>BA7*3.30578512</f>
        <v/>
      </c>
      <c r="BC7" s="11" t="n">
        <v>0</v>
      </c>
      <c r="BD7" s="31" t="n">
        <v>0</v>
      </c>
      <c r="BE7" s="40">
        <f>BD7/BC7</f>
        <v/>
      </c>
      <c r="BF7" s="41">
        <f>BE7*3.30578512</f>
        <v/>
      </c>
      <c r="BG7" s="11" t="n">
        <v>1096</v>
      </c>
      <c r="BH7" s="31" t="n">
        <v>70000</v>
      </c>
      <c r="BI7" s="40">
        <f>BH7/BG7</f>
        <v/>
      </c>
      <c r="BJ7" s="41">
        <f>BI7*3.30578512</f>
        <v/>
      </c>
    </row>
    <row r="8">
      <c r="B8" s="2" t="inlineStr">
        <is>
          <t>倉庫</t>
        </is>
      </c>
      <c r="C8" s="11" t="n">
        <v>560842</v>
      </c>
      <c r="D8" s="31" t="n">
        <v>5842073</v>
      </c>
      <c r="E8" s="40">
        <f>D8/C8</f>
        <v/>
      </c>
      <c r="F8" s="41">
        <f>E8*3.30578512</f>
        <v/>
      </c>
      <c r="G8" s="11" t="n">
        <v>58534</v>
      </c>
      <c r="H8" s="31" t="n">
        <v>780080</v>
      </c>
      <c r="I8" s="40">
        <f>H8/G8</f>
        <v/>
      </c>
      <c r="J8" s="41">
        <f>I8*3.30578512</f>
        <v/>
      </c>
      <c r="K8" s="11" t="n">
        <v>485</v>
      </c>
      <c r="L8" s="31" t="n">
        <v>5600</v>
      </c>
      <c r="M8" s="40">
        <f>L8/K8</f>
        <v/>
      </c>
      <c r="N8" s="41">
        <f>M8*3.30578512</f>
        <v/>
      </c>
      <c r="O8" s="11" t="n">
        <v>73357</v>
      </c>
      <c r="P8" s="31" t="n">
        <v>1094000</v>
      </c>
      <c r="Q8" s="40">
        <f>P8/O8</f>
        <v/>
      </c>
      <c r="R8" s="41">
        <f>Q8*3.30578512</f>
        <v/>
      </c>
      <c r="S8" s="11" t="n">
        <v>25992</v>
      </c>
      <c r="T8" s="31" t="n">
        <v>350320</v>
      </c>
      <c r="U8" s="40">
        <f>T8/S8</f>
        <v/>
      </c>
      <c r="V8" s="41">
        <f>U8*3.30578512</f>
        <v/>
      </c>
      <c r="W8" s="11" t="n">
        <v>438</v>
      </c>
      <c r="X8" s="31" t="n">
        <v>4533</v>
      </c>
      <c r="Y8" s="40">
        <f>X8/W8</f>
        <v/>
      </c>
      <c r="Z8" s="41">
        <f>Y8*3.30578512</f>
        <v/>
      </c>
      <c r="AA8" s="11" t="n">
        <v>76510</v>
      </c>
      <c r="AB8" s="31" t="n">
        <v>1550000</v>
      </c>
      <c r="AC8" s="40">
        <f>AB8/AA8</f>
        <v/>
      </c>
      <c r="AD8" s="41">
        <f>AC8*3.30578512</f>
        <v/>
      </c>
      <c r="AE8" s="11" t="n">
        <v>72696</v>
      </c>
      <c r="AF8" s="31" t="n">
        <v>1100500</v>
      </c>
      <c r="AG8" s="40">
        <f>AF8/AE8</f>
        <v/>
      </c>
      <c r="AH8" s="41">
        <f>AG8*3.30578512</f>
        <v/>
      </c>
      <c r="AI8" s="11" t="n">
        <v>0</v>
      </c>
      <c r="AJ8" s="31" t="n">
        <v>0</v>
      </c>
      <c r="AK8" s="40">
        <f>AJ8/AI8</f>
        <v/>
      </c>
      <c r="AL8" s="41">
        <f>AK8*3.30578512</f>
        <v/>
      </c>
      <c r="AM8" s="11" t="n">
        <v>20271</v>
      </c>
      <c r="AN8" s="31" t="n">
        <v>500800</v>
      </c>
      <c r="AO8" s="40">
        <f>AN8/AM8</f>
        <v/>
      </c>
      <c r="AP8" s="41">
        <f>AO8*3.30578512</f>
        <v/>
      </c>
      <c r="AQ8" s="11" t="n">
        <v>55</v>
      </c>
      <c r="AR8" s="31" t="n">
        <v>600</v>
      </c>
      <c r="AS8" s="40">
        <f>AR8/AQ8</f>
        <v/>
      </c>
      <c r="AT8" s="41">
        <f>AS8*3.30578512</f>
        <v/>
      </c>
      <c r="AU8" s="11" t="n">
        <v>41165</v>
      </c>
      <c r="AV8" s="31" t="n">
        <v>1500630</v>
      </c>
      <c r="AW8" s="40">
        <f>AV8/AU8</f>
        <v/>
      </c>
      <c r="AX8" s="41">
        <f>AW8*3.30578512</f>
        <v/>
      </c>
      <c r="AY8" s="11" t="n">
        <v>438</v>
      </c>
      <c r="AZ8" s="31" t="n">
        <v>18000</v>
      </c>
      <c r="BA8" s="40">
        <f>AZ8/AY8</f>
        <v/>
      </c>
      <c r="BB8" s="41">
        <f>BA8*3.30578512</f>
        <v/>
      </c>
      <c r="BC8" s="11" t="n">
        <v>188</v>
      </c>
      <c r="BD8" s="31" t="n">
        <v>16950</v>
      </c>
      <c r="BE8" s="40">
        <f>BD8/BC8</f>
        <v/>
      </c>
      <c r="BF8" s="41">
        <f>BE8*3.30578512</f>
        <v/>
      </c>
      <c r="BG8" s="11" t="n">
        <v>387</v>
      </c>
      <c r="BH8" s="31" t="n">
        <v>12085</v>
      </c>
      <c r="BI8" s="40">
        <f>BH8/BG8</f>
        <v/>
      </c>
      <c r="BJ8" s="41">
        <f>BI8*3.30578512</f>
        <v/>
      </c>
    </row>
    <row r="9">
      <c r="B9" s="2" t="inlineStr">
        <is>
          <t>学校の校舎</t>
        </is>
      </c>
      <c r="C9" s="11" t="n">
        <v>266605</v>
      </c>
      <c r="D9" s="31" t="n">
        <v>8404400</v>
      </c>
      <c r="E9" s="40">
        <f>D9/C9</f>
        <v/>
      </c>
      <c r="F9" s="41">
        <f>E9*3.30578512</f>
        <v/>
      </c>
      <c r="G9" s="11" t="n">
        <v>31335</v>
      </c>
      <c r="H9" s="31" t="n">
        <v>1411293</v>
      </c>
      <c r="I9" s="40">
        <f>H9/G9</f>
        <v/>
      </c>
      <c r="J9" s="41">
        <f>I9*3.30578512</f>
        <v/>
      </c>
      <c r="K9" s="11" t="n">
        <v>7137</v>
      </c>
      <c r="L9" s="31" t="n">
        <v>235000</v>
      </c>
      <c r="M9" s="40">
        <f>L9/K9</f>
        <v/>
      </c>
      <c r="N9" s="41">
        <f>M9*3.30578512</f>
        <v/>
      </c>
      <c r="O9" s="11" t="n">
        <v>9146</v>
      </c>
      <c r="P9" s="31" t="n">
        <v>400000</v>
      </c>
      <c r="Q9" s="40">
        <f>P9/O9</f>
        <v/>
      </c>
      <c r="R9" s="41">
        <f>Q9*3.30578512</f>
        <v/>
      </c>
      <c r="S9" s="11" t="n">
        <v>13024</v>
      </c>
      <c r="T9" s="31" t="n">
        <v>403300</v>
      </c>
      <c r="U9" s="40">
        <f>T9/S9</f>
        <v/>
      </c>
      <c r="V9" s="41">
        <f>U9*3.30578512</f>
        <v/>
      </c>
      <c r="W9" s="11" t="n">
        <v>3518</v>
      </c>
      <c r="X9" s="31" t="n">
        <v>225292</v>
      </c>
      <c r="Y9" s="40">
        <f>X9/W9</f>
        <v/>
      </c>
      <c r="Z9" s="41">
        <f>Y9*3.30578512</f>
        <v/>
      </c>
      <c r="AA9" s="11" t="n">
        <v>3068</v>
      </c>
      <c r="AB9" s="31" t="n">
        <v>78000</v>
      </c>
      <c r="AC9" s="40">
        <f>AB9/AA9</f>
        <v/>
      </c>
      <c r="AD9" s="41">
        <f>AC9*3.30578512</f>
        <v/>
      </c>
      <c r="AE9" s="11" t="n">
        <v>8672</v>
      </c>
      <c r="AF9" s="31" t="n">
        <v>335000</v>
      </c>
      <c r="AG9" s="40">
        <f>AF9/AE9</f>
        <v/>
      </c>
      <c r="AH9" s="41">
        <f>AG9*3.30578512</f>
        <v/>
      </c>
      <c r="AI9" s="11" t="n">
        <v>15400</v>
      </c>
      <c r="AJ9" s="31" t="n">
        <v>859050</v>
      </c>
      <c r="AK9" s="40">
        <f>AJ9/AI9</f>
        <v/>
      </c>
      <c r="AL9" s="41">
        <f>AK9*3.30578512</f>
        <v/>
      </c>
      <c r="AM9" s="11" t="n">
        <v>15055</v>
      </c>
      <c r="AN9" s="31" t="n">
        <v>410000</v>
      </c>
      <c r="AO9" s="40">
        <f>AN9/AM9</f>
        <v/>
      </c>
      <c r="AP9" s="41">
        <f>AO9*3.30578512</f>
        <v/>
      </c>
      <c r="AQ9" s="11" t="n">
        <v>34043</v>
      </c>
      <c r="AR9" s="31" t="n">
        <v>1561518</v>
      </c>
      <c r="AS9" s="40">
        <f>AR9/AQ9</f>
        <v/>
      </c>
      <c r="AT9" s="41">
        <f>AS9*3.30578512</f>
        <v/>
      </c>
      <c r="AU9" s="11" t="n">
        <v>11391</v>
      </c>
      <c r="AV9" s="31" t="n">
        <v>786964</v>
      </c>
      <c r="AW9" s="40">
        <f>AV9/AU9</f>
        <v/>
      </c>
      <c r="AX9" s="41">
        <f>AW9*3.30578512</f>
        <v/>
      </c>
      <c r="AY9" s="11" t="n">
        <v>2491</v>
      </c>
      <c r="AZ9" s="31" t="n">
        <v>100000</v>
      </c>
      <c r="BA9" s="40">
        <f>AZ9/AY9</f>
        <v/>
      </c>
      <c r="BB9" s="41">
        <f>BA9*3.30578512</f>
        <v/>
      </c>
      <c r="BC9" s="11" t="n">
        <v>0</v>
      </c>
      <c r="BD9" s="31" t="n">
        <v>0</v>
      </c>
      <c r="BE9" s="40">
        <f>BD9/BC9</f>
        <v/>
      </c>
      <c r="BF9" s="41">
        <f>BE9*3.30578512</f>
        <v/>
      </c>
      <c r="BG9" s="11" t="n">
        <v>16153</v>
      </c>
      <c r="BH9" s="31" t="n">
        <v>560000</v>
      </c>
      <c r="BI9" s="40">
        <f>BH9/BG9</f>
        <v/>
      </c>
      <c r="BJ9" s="41">
        <f>BI9*3.30578512</f>
        <v/>
      </c>
    </row>
    <row r="10">
      <c r="B10" s="2" t="inlineStr">
        <is>
          <t>病院・診療所</t>
        </is>
      </c>
      <c r="C10" s="11" t="n">
        <v>314681</v>
      </c>
      <c r="D10" s="31" t="n">
        <v>7514820</v>
      </c>
      <c r="E10" s="40">
        <f>D10/C10</f>
        <v/>
      </c>
      <c r="F10" s="41">
        <f>E10*3.30578512</f>
        <v/>
      </c>
      <c r="G10" s="11" t="n">
        <v>7101</v>
      </c>
      <c r="H10" s="31" t="n">
        <v>250000</v>
      </c>
      <c r="I10" s="40">
        <f>H10/G10</f>
        <v/>
      </c>
      <c r="J10" s="41">
        <f>I10*3.30578512</f>
        <v/>
      </c>
      <c r="K10" s="11" t="n">
        <v>0</v>
      </c>
      <c r="L10" s="31" t="n">
        <v>0</v>
      </c>
      <c r="M10" s="40">
        <f>L10/K10</f>
        <v/>
      </c>
      <c r="N10" s="41">
        <f>M10*3.30578512</f>
        <v/>
      </c>
      <c r="O10" s="11" t="n">
        <v>0</v>
      </c>
      <c r="P10" s="31" t="n">
        <v>0</v>
      </c>
      <c r="Q10" s="40">
        <f>P10/O10</f>
        <v/>
      </c>
      <c r="R10" s="41">
        <f>Q10*3.30578512</f>
        <v/>
      </c>
      <c r="S10" s="11" t="n">
        <v>45264</v>
      </c>
      <c r="T10" s="31" t="n">
        <v>1927700</v>
      </c>
      <c r="U10" s="40">
        <f>T10/S10</f>
        <v/>
      </c>
      <c r="V10" s="41">
        <f>U10*3.30578512</f>
        <v/>
      </c>
      <c r="W10" s="11" t="n">
        <v>0</v>
      </c>
      <c r="X10" s="31" t="n">
        <v>0</v>
      </c>
      <c r="Y10" s="40">
        <f>X10/W10</f>
        <v/>
      </c>
      <c r="Z10" s="41">
        <f>Y10*3.30578512</f>
        <v/>
      </c>
      <c r="AA10" s="11" t="n">
        <v>1698</v>
      </c>
      <c r="AB10" s="31" t="n">
        <v>65000</v>
      </c>
      <c r="AC10" s="40">
        <f>AB10/AA10</f>
        <v/>
      </c>
      <c r="AD10" s="41">
        <f>AC10*3.30578512</f>
        <v/>
      </c>
      <c r="AE10" s="11" t="n">
        <v>233</v>
      </c>
      <c r="AF10" s="31" t="n">
        <v>100000</v>
      </c>
      <c r="AG10" s="40">
        <f>AF10/AE10</f>
        <v/>
      </c>
      <c r="AH10" s="41">
        <f>AG10*3.30578512</f>
        <v/>
      </c>
      <c r="AI10" s="11" t="n">
        <v>0</v>
      </c>
      <c r="AJ10" s="31" t="n">
        <v>0</v>
      </c>
      <c r="AK10" s="40">
        <f>AJ10/AI10</f>
        <v/>
      </c>
      <c r="AL10" s="41">
        <f>AK10*3.30578512</f>
        <v/>
      </c>
      <c r="AM10" s="11" t="n">
        <v>0</v>
      </c>
      <c r="AN10" s="31" t="n">
        <v>0</v>
      </c>
      <c r="AO10" s="40">
        <f>AN10/AM10</f>
        <v/>
      </c>
      <c r="AP10" s="41">
        <f>AO10*3.30578512</f>
        <v/>
      </c>
      <c r="AQ10" s="11" t="n">
        <v>0</v>
      </c>
      <c r="AR10" s="31" t="n">
        <v>0</v>
      </c>
      <c r="AS10" s="40">
        <f>AR10/AQ10</f>
        <v/>
      </c>
      <c r="AT10" s="41">
        <f>AS10*3.30578512</f>
        <v/>
      </c>
      <c r="AU10" s="11" t="n">
        <v>0</v>
      </c>
      <c r="AV10" s="31" t="n">
        <v>0</v>
      </c>
      <c r="AW10" s="40">
        <f>AV10/AU10</f>
        <v/>
      </c>
      <c r="AX10" s="41">
        <f>AW10*3.30578512</f>
        <v/>
      </c>
      <c r="AY10" s="11" t="n">
        <v>0</v>
      </c>
      <c r="AZ10" s="31" t="n">
        <v>0</v>
      </c>
      <c r="BA10" s="40">
        <f>AZ10/AY10</f>
        <v/>
      </c>
      <c r="BB10" s="41">
        <f>BA10*3.30578512</f>
        <v/>
      </c>
      <c r="BC10" s="11" t="n">
        <v>0</v>
      </c>
      <c r="BD10" s="31" t="n">
        <v>0</v>
      </c>
      <c r="BE10" s="40">
        <f>BD10/BC10</f>
        <v/>
      </c>
      <c r="BF10" s="41">
        <f>BE10*3.30578512</f>
        <v/>
      </c>
      <c r="BG10" s="11" t="n">
        <v>117</v>
      </c>
      <c r="BH10" s="31" t="n">
        <v>10000</v>
      </c>
      <c r="BI10" s="40">
        <f>BH10/BG10</f>
        <v/>
      </c>
      <c r="BJ10" s="41">
        <f>BI10*3.30578512</f>
        <v/>
      </c>
    </row>
    <row r="11" ht="18.6" customHeight="1" thickBot="1">
      <c r="B11" s="2" t="inlineStr">
        <is>
          <t>その他</t>
        </is>
      </c>
      <c r="C11" s="15" t="n">
        <v>507097</v>
      </c>
      <c r="D11" s="16" t="n">
        <v>17314472</v>
      </c>
      <c r="E11" s="42">
        <f>D11/C11</f>
        <v/>
      </c>
      <c r="F11" s="43">
        <f>E11*3.30578512</f>
        <v/>
      </c>
      <c r="G11" s="15" t="n">
        <v>50041</v>
      </c>
      <c r="H11" s="16" t="n">
        <v>2062198</v>
      </c>
      <c r="I11" s="42">
        <f>H11/G11</f>
        <v/>
      </c>
      <c r="J11" s="43">
        <f>I11*3.30578512</f>
        <v/>
      </c>
      <c r="K11" s="15" t="n">
        <v>8699</v>
      </c>
      <c r="L11" s="16" t="n">
        <v>257572</v>
      </c>
      <c r="M11" s="42">
        <f>L11/K11</f>
        <v/>
      </c>
      <c r="N11" s="43">
        <f>M11*3.30578512</f>
        <v/>
      </c>
      <c r="O11" s="15" t="n">
        <v>11687</v>
      </c>
      <c r="P11" s="16" t="n">
        <v>363695</v>
      </c>
      <c r="Q11" s="42">
        <f>P11/O11</f>
        <v/>
      </c>
      <c r="R11" s="43">
        <f>Q11*3.30578512</f>
        <v/>
      </c>
      <c r="S11" s="15" t="n">
        <v>29941</v>
      </c>
      <c r="T11" s="16" t="n">
        <v>1871775</v>
      </c>
      <c r="U11" s="42">
        <f>T11/S11</f>
        <v/>
      </c>
      <c r="V11" s="43">
        <f>U11*3.30578512</f>
        <v/>
      </c>
      <c r="W11" s="15" t="n">
        <v>9188</v>
      </c>
      <c r="X11" s="16" t="n">
        <v>483125</v>
      </c>
      <c r="Y11" s="42">
        <f>X11/W11</f>
        <v/>
      </c>
      <c r="Z11" s="43">
        <f>Y11*3.30578512</f>
        <v/>
      </c>
      <c r="AA11" s="15" t="n">
        <v>34727</v>
      </c>
      <c r="AB11" s="16" t="n">
        <v>1085909</v>
      </c>
      <c r="AC11" s="42">
        <f>AB11/AA11</f>
        <v/>
      </c>
      <c r="AD11" s="43">
        <f>AC11*3.30578512</f>
        <v/>
      </c>
      <c r="AE11" s="15" t="n">
        <v>4314</v>
      </c>
      <c r="AF11" s="16" t="n">
        <v>175486</v>
      </c>
      <c r="AG11" s="42">
        <f>AF11/AE11</f>
        <v/>
      </c>
      <c r="AH11" s="43">
        <f>AG11*3.30578512</f>
        <v/>
      </c>
      <c r="AI11" s="15" t="n">
        <v>12774</v>
      </c>
      <c r="AJ11" s="16" t="n">
        <v>936374</v>
      </c>
      <c r="AK11" s="42">
        <f>AJ11/AI11</f>
        <v/>
      </c>
      <c r="AL11" s="43">
        <f>AK11*3.30578512</f>
        <v/>
      </c>
      <c r="AM11" s="15" t="n">
        <v>1320</v>
      </c>
      <c r="AN11" s="16" t="n">
        <v>58144</v>
      </c>
      <c r="AO11" s="42">
        <f>AN11/AM11</f>
        <v/>
      </c>
      <c r="AP11" s="43">
        <f>AO11*3.30578512</f>
        <v/>
      </c>
      <c r="AQ11" s="15" t="n">
        <v>968</v>
      </c>
      <c r="AR11" s="16" t="n">
        <v>13963</v>
      </c>
      <c r="AS11" s="42">
        <f>AR11/AQ11</f>
        <v/>
      </c>
      <c r="AT11" s="43">
        <f>AS11*3.30578512</f>
        <v/>
      </c>
      <c r="AU11" s="15" t="n">
        <v>72472</v>
      </c>
      <c r="AV11" s="16" t="n">
        <v>7480770</v>
      </c>
      <c r="AW11" s="42">
        <f>AV11/AU11</f>
        <v/>
      </c>
      <c r="AX11" s="43">
        <f>AW11*3.30578512</f>
        <v/>
      </c>
      <c r="AY11" s="15" t="n">
        <v>125722</v>
      </c>
      <c r="AZ11" s="16" t="n">
        <v>12810713</v>
      </c>
      <c r="BA11" s="42">
        <f>AZ11/AY11</f>
        <v/>
      </c>
      <c r="BB11" s="43">
        <f>BA11*3.30578512</f>
        <v/>
      </c>
      <c r="BC11" s="15" t="n">
        <v>66242</v>
      </c>
      <c r="BD11" s="16" t="n">
        <v>4926065.96136</v>
      </c>
      <c r="BE11" s="42">
        <f>BD11/BC11</f>
        <v/>
      </c>
      <c r="BF11" s="43">
        <f>BE11*3.30578512</f>
        <v/>
      </c>
      <c r="BG11" s="15" t="n">
        <v>11749</v>
      </c>
      <c r="BH11" s="16" t="n">
        <v>267872</v>
      </c>
      <c r="BI11" s="42">
        <f>BH11/BG11</f>
        <v/>
      </c>
      <c r="BJ11" s="43">
        <f>BI11*3.30578512</f>
        <v/>
      </c>
    </row>
    <row r="12">
      <c r="BC12" s="44" t="n"/>
      <c r="BD12" s="44" t="n"/>
      <c r="BG12" s="44" t="n"/>
      <c r="BH12" s="4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selection activeCell="A1" sqref="A1"/>
    </sheetView>
  </sheetViews>
  <sheetFormatPr baseColWidth="8" defaultColWidth="8.69921875" defaultRowHeight="18"/>
  <cols>
    <col width="2.796875" customWidth="1" style="2" min="1" max="1"/>
    <col width="14.296875" bestFit="1" customWidth="1" style="2" min="2" max="2"/>
    <col width="11.59765625" customWidth="1" style="2" min="3" max="88"/>
    <col width="8.69921875" customWidth="1" style="2" min="89" max="16384"/>
  </cols>
  <sheetData>
    <row r="1" ht="19.8" customHeight="1">
      <c r="A1" s="1" t="inlineStr">
        <is>
          <t>鉄筋コンクリート造</t>
        </is>
      </c>
    </row>
    <row r="2" ht="20.4" customHeight="1" thickBot="1">
      <c r="A2" s="1" t="n"/>
    </row>
    <row r="3">
      <c r="C3" s="4" t="inlineStr">
        <is>
          <t>2015（基準）</t>
        </is>
      </c>
      <c r="D3" s="5" t="n"/>
      <c r="E3" s="5" t="n"/>
      <c r="F3" s="6" t="n"/>
      <c r="G3" s="4" t="inlineStr">
        <is>
          <t>令和4年2月分</t>
        </is>
      </c>
      <c r="H3" s="5" t="n"/>
      <c r="I3" s="5" t="n"/>
      <c r="J3" s="6" t="n"/>
      <c r="K3" s="4" t="inlineStr">
        <is>
          <t>令和4年5月分</t>
        </is>
      </c>
      <c r="L3" s="5" t="n"/>
      <c r="M3" s="5" t="n"/>
      <c r="N3" s="6" t="n"/>
      <c r="O3" s="4" t="inlineStr">
        <is>
          <t>令和4年8月分</t>
        </is>
      </c>
      <c r="P3" s="5" t="n"/>
      <c r="Q3" s="5" t="n"/>
      <c r="R3" s="6" t="n"/>
      <c r="S3" s="4" t="inlineStr">
        <is>
          <t>令和4年11月分</t>
        </is>
      </c>
      <c r="T3" s="5" t="n"/>
      <c r="U3" s="5" t="n"/>
      <c r="V3" s="6" t="n"/>
      <c r="W3" s="4" t="inlineStr">
        <is>
          <t>令和5年2月分</t>
        </is>
      </c>
      <c r="X3" s="5" t="n"/>
      <c r="Y3" s="5" t="n"/>
      <c r="Z3" s="6" t="n"/>
      <c r="AA3" s="4" t="inlineStr">
        <is>
          <t>令和5年5月分</t>
        </is>
      </c>
      <c r="AB3" s="5" t="n"/>
      <c r="AC3" s="5" t="n"/>
      <c r="AD3" s="6" t="n"/>
      <c r="AE3" s="4" t="inlineStr">
        <is>
          <t>令和5年8月分</t>
        </is>
      </c>
      <c r="AF3" s="5" t="n"/>
      <c r="AG3" s="5" t="n"/>
      <c r="AH3" s="6" t="n"/>
      <c r="AI3" s="4" t="inlineStr">
        <is>
          <t>令和5年11月分</t>
        </is>
      </c>
      <c r="AJ3" s="5" t="n"/>
      <c r="AK3" s="5" t="n"/>
      <c r="AL3" s="6" t="n"/>
      <c r="AM3" s="4" t="inlineStr">
        <is>
          <t>令和6年2月分</t>
        </is>
      </c>
      <c r="AN3" s="5" t="n"/>
      <c r="AO3" s="5" t="n"/>
      <c r="AP3" s="6" t="n"/>
      <c r="AQ3" s="4" t="inlineStr">
        <is>
          <t>令和6年5月分</t>
        </is>
      </c>
      <c r="AR3" s="5" t="n"/>
      <c r="AS3" s="5" t="n"/>
      <c r="AT3" s="6" t="n"/>
      <c r="AU3" s="4" t="inlineStr">
        <is>
          <t>令和6年8月分</t>
        </is>
      </c>
      <c r="AV3" s="5" t="n"/>
      <c r="AW3" s="5" t="n"/>
      <c r="AX3" s="6" t="n"/>
      <c r="AY3" s="4" t="inlineStr">
        <is>
          <t>令和6年11月分</t>
        </is>
      </c>
      <c r="AZ3" s="5" t="n"/>
      <c r="BA3" s="5" t="n"/>
      <c r="BB3" s="6" t="n"/>
      <c r="BC3" s="4" t="inlineStr">
        <is>
          <t>令和7年2月分</t>
        </is>
      </c>
      <c r="BD3" s="5" t="n"/>
      <c r="BE3" s="5" t="n"/>
      <c r="BF3" s="6" t="n"/>
      <c r="BG3" s="4" t="inlineStr">
        <is>
          <t>令和7年5月分</t>
        </is>
      </c>
      <c r="BH3" s="5" t="n"/>
      <c r="BI3" s="5" t="n"/>
      <c r="BJ3" s="6" t="n"/>
    </row>
    <row r="4" ht="45" customHeight="1">
      <c r="C4" s="7" t="inlineStr">
        <is>
          <t>床面積の合計　（㎡）</t>
        </is>
      </c>
      <c r="D4" s="8" t="inlineStr">
        <is>
          <t>工事費予定額（万円）</t>
        </is>
      </c>
      <c r="E4" s="9" t="inlineStr">
        <is>
          <t>面積単価
（万円/㎡）</t>
        </is>
      </c>
      <c r="F4" s="10" t="inlineStr">
        <is>
          <t>面積単価
（万円/坪）</t>
        </is>
      </c>
      <c r="G4" s="7" t="inlineStr">
        <is>
          <t>床面積の合計　（㎡）</t>
        </is>
      </c>
      <c r="H4" s="8" t="inlineStr">
        <is>
          <t>工事費予定額（万円）</t>
        </is>
      </c>
      <c r="I4" s="9" t="inlineStr">
        <is>
          <t>面積単価
（万円/㎡）</t>
        </is>
      </c>
      <c r="J4" s="10" t="inlineStr">
        <is>
          <t>面積単価
（万円/坪）</t>
        </is>
      </c>
      <c r="K4" s="7" t="inlineStr">
        <is>
          <t>床面積の合計　（㎡）</t>
        </is>
      </c>
      <c r="L4" s="8" t="inlineStr">
        <is>
          <t>工事費予定額（万円）</t>
        </is>
      </c>
      <c r="M4" s="9" t="inlineStr">
        <is>
          <t>面積単価
（万円/㎡）</t>
        </is>
      </c>
      <c r="N4" s="10" t="inlineStr">
        <is>
          <t>面積単価
（万円/坪）</t>
        </is>
      </c>
      <c r="O4" s="7" t="inlineStr">
        <is>
          <t>床面積の合計　（㎡）</t>
        </is>
      </c>
      <c r="P4" s="8" t="inlineStr">
        <is>
          <t>工事費予定額（万円）</t>
        </is>
      </c>
      <c r="Q4" s="9" t="inlineStr">
        <is>
          <t>面積単価
（万円/㎡）</t>
        </is>
      </c>
      <c r="R4" s="10" t="inlineStr">
        <is>
          <t>面積単価
（万円/坪）</t>
        </is>
      </c>
      <c r="S4" s="7" t="inlineStr">
        <is>
          <t>床面積の合計　（㎡）</t>
        </is>
      </c>
      <c r="T4" s="8" t="inlineStr">
        <is>
          <t>工事費予定額（万円）</t>
        </is>
      </c>
      <c r="U4" s="9" t="inlineStr">
        <is>
          <t>面積単価
（万円/㎡）</t>
        </is>
      </c>
      <c r="V4" s="10" t="inlineStr">
        <is>
          <t>面積単価
（万円/坪）</t>
        </is>
      </c>
      <c r="W4" s="7" t="inlineStr">
        <is>
          <t>床面積の合計　（㎡）</t>
        </is>
      </c>
      <c r="X4" s="8" t="inlineStr">
        <is>
          <t>工事費予定額（万円）</t>
        </is>
      </c>
      <c r="Y4" s="9" t="inlineStr">
        <is>
          <t>面積単価
（万円/㎡）</t>
        </is>
      </c>
      <c r="Z4" s="10" t="inlineStr">
        <is>
          <t>面積単価
（万円/坪）</t>
        </is>
      </c>
      <c r="AA4" s="7" t="inlineStr">
        <is>
          <t>床面積の合計　（㎡）</t>
        </is>
      </c>
      <c r="AB4" s="8" t="inlineStr">
        <is>
          <t>工事費予定額（万円）</t>
        </is>
      </c>
      <c r="AC4" s="9" t="inlineStr">
        <is>
          <t>面積単価
（万円/㎡）</t>
        </is>
      </c>
      <c r="AD4" s="10" t="inlineStr">
        <is>
          <t>面積単価
（万円/坪）</t>
        </is>
      </c>
      <c r="AE4" s="7" t="inlineStr">
        <is>
          <t>床面積の合計　（㎡）</t>
        </is>
      </c>
      <c r="AF4" s="8" t="inlineStr">
        <is>
          <t>工事費予定額（万円）</t>
        </is>
      </c>
      <c r="AG4" s="9" t="inlineStr">
        <is>
          <t>面積単価
（万円/㎡）</t>
        </is>
      </c>
      <c r="AH4" s="10" t="inlineStr">
        <is>
          <t>面積単価
（万円/坪）</t>
        </is>
      </c>
      <c r="AI4" s="7" t="inlineStr">
        <is>
          <t>床面積の合計　（㎡）</t>
        </is>
      </c>
      <c r="AJ4" s="8" t="inlineStr">
        <is>
          <t>工事費予定額（万円）</t>
        </is>
      </c>
      <c r="AK4" s="9" t="inlineStr">
        <is>
          <t>面積単価
（万円/㎡）</t>
        </is>
      </c>
      <c r="AL4" s="10" t="inlineStr">
        <is>
          <t>面積単価
（万円/坪）</t>
        </is>
      </c>
      <c r="AM4" s="7" t="inlineStr">
        <is>
          <t>床面積の合計　（㎡）</t>
        </is>
      </c>
      <c r="AN4" s="8" t="inlineStr">
        <is>
          <t>工事費予定額（万円）</t>
        </is>
      </c>
      <c r="AO4" s="9" t="inlineStr">
        <is>
          <t>面積単価
（万円/㎡）</t>
        </is>
      </c>
      <c r="AP4" s="10" t="inlineStr">
        <is>
          <t>面積単価
（万円/坪）</t>
        </is>
      </c>
      <c r="AQ4" s="7" t="inlineStr">
        <is>
          <t>床面積の合計　（㎡）</t>
        </is>
      </c>
      <c r="AR4" s="8" t="inlineStr">
        <is>
          <t>工事費予定額（万円）</t>
        </is>
      </c>
      <c r="AS4" s="9" t="inlineStr">
        <is>
          <t>面積単価
（万円/㎡）</t>
        </is>
      </c>
      <c r="AT4" s="10" t="inlineStr">
        <is>
          <t>面積単価
（万円/坪）</t>
        </is>
      </c>
      <c r="AU4" s="7" t="inlineStr">
        <is>
          <t>床面積の合計　（㎡）</t>
        </is>
      </c>
      <c r="AV4" s="8" t="inlineStr">
        <is>
          <t>工事費予定額（万円）</t>
        </is>
      </c>
      <c r="AW4" s="9" t="inlineStr">
        <is>
          <t>面積単価
（万円/㎡）</t>
        </is>
      </c>
      <c r="AX4" s="10" t="inlineStr">
        <is>
          <t>面積単価
（万円/坪）</t>
        </is>
      </c>
      <c r="AY4" s="7" t="inlineStr">
        <is>
          <t>床面積の合計　（㎡）</t>
        </is>
      </c>
      <c r="AZ4" s="8" t="inlineStr">
        <is>
          <t>工事費予定額（万円）</t>
        </is>
      </c>
      <c r="BA4" s="9" t="inlineStr">
        <is>
          <t>面積単価
（万円/㎡）</t>
        </is>
      </c>
      <c r="BB4" s="10" t="inlineStr">
        <is>
          <t>面積単価
（万円/坪）</t>
        </is>
      </c>
      <c r="BC4" s="7" t="inlineStr">
        <is>
          <t>床面積の合計　（㎡）</t>
        </is>
      </c>
      <c r="BD4" s="8" t="inlineStr">
        <is>
          <t>工事費予定額（万円）</t>
        </is>
      </c>
      <c r="BE4" s="9" t="inlineStr">
        <is>
          <t>面積単価
（万円/㎡）</t>
        </is>
      </c>
      <c r="BF4" s="10" t="inlineStr">
        <is>
          <t>面積単価
（万円/坪）</t>
        </is>
      </c>
      <c r="BG4" s="7" t="inlineStr">
        <is>
          <t>床面積の合計　（㎡）</t>
        </is>
      </c>
      <c r="BH4" s="8" t="inlineStr">
        <is>
          <t>工事費予定額（万円）</t>
        </is>
      </c>
      <c r="BI4" s="9" t="inlineStr">
        <is>
          <t>面積単価
（万円/㎡）</t>
        </is>
      </c>
      <c r="BJ4" s="10" t="inlineStr">
        <is>
          <t>面積単価
（万円/坪）</t>
        </is>
      </c>
    </row>
    <row r="5">
      <c r="B5" s="2" t="inlineStr">
        <is>
          <t>事務所</t>
        </is>
      </c>
      <c r="C5" s="11" t="n">
        <v>673470</v>
      </c>
      <c r="D5" s="31" t="n">
        <v>21399499</v>
      </c>
      <c r="E5" s="40">
        <f>D5/C5</f>
        <v/>
      </c>
      <c r="F5" s="41">
        <f>E5*3.30578512</f>
        <v/>
      </c>
      <c r="G5" s="11" t="n">
        <v>32466</v>
      </c>
      <c r="H5" s="31" t="n">
        <v>1049125</v>
      </c>
      <c r="I5" s="40">
        <f>H5/G5</f>
        <v/>
      </c>
      <c r="J5" s="41">
        <f>I5*3.30578512</f>
        <v/>
      </c>
      <c r="K5" s="11" t="n">
        <v>79603</v>
      </c>
      <c r="L5" s="31" t="n">
        <v>3510950</v>
      </c>
      <c r="M5" s="40">
        <f>L5/K5</f>
        <v/>
      </c>
      <c r="N5" s="41">
        <f>M5*3.30578512</f>
        <v/>
      </c>
      <c r="O5" s="11" t="n">
        <v>57126</v>
      </c>
      <c r="P5" s="31" t="n">
        <v>2171051</v>
      </c>
      <c r="Q5" s="40">
        <f>P5/O5</f>
        <v/>
      </c>
      <c r="R5" s="41">
        <f>Q5*3.30578512</f>
        <v/>
      </c>
      <c r="S5" s="11" t="n">
        <v>45541</v>
      </c>
      <c r="T5" s="31" t="n">
        <v>1919944</v>
      </c>
      <c r="U5" s="40">
        <f>T5/S5</f>
        <v/>
      </c>
      <c r="V5" s="41">
        <f>U5*3.30578512</f>
        <v/>
      </c>
      <c r="W5" s="11" t="n">
        <v>55883</v>
      </c>
      <c r="X5" s="31" t="n">
        <v>2392358</v>
      </c>
      <c r="Y5" s="40">
        <f>X5/W5</f>
        <v/>
      </c>
      <c r="Z5" s="41">
        <f>Y5*3.30578512</f>
        <v/>
      </c>
      <c r="AA5" s="11" t="n">
        <v>53575</v>
      </c>
      <c r="AB5" s="31" t="n">
        <v>2353715</v>
      </c>
      <c r="AC5" s="40">
        <f>AB5/AA5</f>
        <v/>
      </c>
      <c r="AD5" s="41">
        <f>AC5*3.30578512</f>
        <v/>
      </c>
      <c r="AE5" s="11" t="n">
        <v>40073</v>
      </c>
      <c r="AF5" s="31" t="n">
        <v>2134117</v>
      </c>
      <c r="AG5" s="40">
        <f>AF5/AE5</f>
        <v/>
      </c>
      <c r="AH5" s="41">
        <f>AG5*3.30578512</f>
        <v/>
      </c>
      <c r="AI5" s="11" t="n">
        <v>39643</v>
      </c>
      <c r="AJ5" s="31" t="n">
        <v>2271769</v>
      </c>
      <c r="AK5" s="40">
        <f>AJ5/AI5</f>
        <v/>
      </c>
      <c r="AL5" s="41">
        <f>AK5*3.30578512</f>
        <v/>
      </c>
      <c r="AM5" s="11" t="n">
        <v>20929</v>
      </c>
      <c r="AN5" s="31" t="n">
        <v>1282400</v>
      </c>
      <c r="AO5" s="40">
        <f>AN5/AM5</f>
        <v/>
      </c>
      <c r="AP5" s="41">
        <f>AO5*3.30578512</f>
        <v/>
      </c>
      <c r="AQ5" s="11" t="n">
        <v>35108</v>
      </c>
      <c r="AR5" s="31" t="n">
        <v>1791375</v>
      </c>
      <c r="AS5" s="40">
        <f>AR5/AQ5</f>
        <v/>
      </c>
      <c r="AT5" s="41">
        <f>AS5*3.30578512</f>
        <v/>
      </c>
      <c r="AU5" s="11" t="n">
        <v>21870</v>
      </c>
      <c r="AV5" s="31" t="n">
        <v>1267345</v>
      </c>
      <c r="AW5" s="40">
        <f>AV5/AU5</f>
        <v/>
      </c>
      <c r="AX5" s="41">
        <f>AW5*3.30578512</f>
        <v/>
      </c>
      <c r="AY5" s="11" t="n">
        <v>76901</v>
      </c>
      <c r="AZ5" s="31" t="n">
        <v>5281615</v>
      </c>
      <c r="BA5" s="40">
        <f>AZ5/AY5</f>
        <v/>
      </c>
      <c r="BB5" s="41">
        <f>BA5*3.30578512</f>
        <v/>
      </c>
      <c r="BC5" s="11" t="n">
        <v>76113</v>
      </c>
      <c r="BD5" s="31" t="n">
        <v>4479190.79035</v>
      </c>
      <c r="BE5" s="40">
        <f>BD5/BC5</f>
        <v/>
      </c>
      <c r="BF5" s="41">
        <f>BE5*3.30578512</f>
        <v/>
      </c>
      <c r="BG5" s="11" t="n">
        <v>47106</v>
      </c>
      <c r="BH5" s="31" t="n">
        <v>1677680.3635</v>
      </c>
      <c r="BI5" s="40">
        <f>BH5/BG5</f>
        <v/>
      </c>
      <c r="BJ5" s="41">
        <f>BI5*3.30578512</f>
        <v/>
      </c>
    </row>
    <row r="6">
      <c r="B6" s="2" t="inlineStr">
        <is>
          <t>店舗</t>
        </is>
      </c>
      <c r="C6" s="11" t="n">
        <v>72357</v>
      </c>
      <c r="D6" s="31" t="n">
        <v>1758084</v>
      </c>
      <c r="E6" s="40">
        <f>D6/C6</f>
        <v/>
      </c>
      <c r="F6" s="41">
        <f>E6*3.30578512</f>
        <v/>
      </c>
      <c r="G6" s="11" t="n">
        <v>27939</v>
      </c>
      <c r="H6" s="31" t="n">
        <v>779947</v>
      </c>
      <c r="I6" s="40">
        <f>H6/G6</f>
        <v/>
      </c>
      <c r="J6" s="41">
        <f>I6*3.30578512</f>
        <v/>
      </c>
      <c r="K6" s="11" t="n">
        <v>23904</v>
      </c>
      <c r="L6" s="31" t="n">
        <v>951091</v>
      </c>
      <c r="M6" s="40">
        <f>L6/K6</f>
        <v/>
      </c>
      <c r="N6" s="41">
        <f>M6*3.30578512</f>
        <v/>
      </c>
      <c r="O6" s="11" t="n">
        <v>10431</v>
      </c>
      <c r="P6" s="31" t="n">
        <v>262239</v>
      </c>
      <c r="Q6" s="40">
        <f>P6/O6</f>
        <v/>
      </c>
      <c r="R6" s="41">
        <f>Q6*3.30578512</f>
        <v/>
      </c>
      <c r="S6" s="11" t="n">
        <v>1536</v>
      </c>
      <c r="T6" s="31" t="n">
        <v>47894</v>
      </c>
      <c r="U6" s="40">
        <f>T6/S6</f>
        <v/>
      </c>
      <c r="V6" s="41">
        <f>U6*3.30578512</f>
        <v/>
      </c>
      <c r="W6" s="11" t="n">
        <v>6306</v>
      </c>
      <c r="X6" s="31" t="n">
        <v>215418</v>
      </c>
      <c r="Y6" s="40">
        <f>X6/W6</f>
        <v/>
      </c>
      <c r="Z6" s="41">
        <f>Y6*3.30578512</f>
        <v/>
      </c>
      <c r="AA6" s="11" t="n">
        <v>5822</v>
      </c>
      <c r="AB6" s="31" t="n">
        <v>179220</v>
      </c>
      <c r="AC6" s="40">
        <f>AB6/AA6</f>
        <v/>
      </c>
      <c r="AD6" s="41">
        <f>AC6*3.30578512</f>
        <v/>
      </c>
      <c r="AE6" s="11" t="n">
        <v>8806</v>
      </c>
      <c r="AF6" s="31" t="n">
        <v>377134</v>
      </c>
      <c r="AG6" s="40">
        <f>AF6/AE6</f>
        <v/>
      </c>
      <c r="AH6" s="41">
        <f>AG6*3.30578512</f>
        <v/>
      </c>
      <c r="AI6" s="11" t="n">
        <v>1430</v>
      </c>
      <c r="AJ6" s="31" t="n">
        <v>71400</v>
      </c>
      <c r="AK6" s="40">
        <f>AJ6/AI6</f>
        <v/>
      </c>
      <c r="AL6" s="41">
        <f>AK6*3.30578512</f>
        <v/>
      </c>
      <c r="AM6" s="11" t="n">
        <v>5235</v>
      </c>
      <c r="AN6" s="31" t="n">
        <v>321235</v>
      </c>
      <c r="AO6" s="40">
        <f>AN6/AM6</f>
        <v/>
      </c>
      <c r="AP6" s="41">
        <f>AO6*3.30578512</f>
        <v/>
      </c>
      <c r="AQ6" s="11" t="n">
        <v>32529</v>
      </c>
      <c r="AR6" s="31" t="n">
        <v>864522</v>
      </c>
      <c r="AS6" s="40">
        <f>AR6/AQ6</f>
        <v/>
      </c>
      <c r="AT6" s="41">
        <f>AS6*3.30578512</f>
        <v/>
      </c>
      <c r="AU6" s="11" t="n">
        <v>1537</v>
      </c>
      <c r="AV6" s="31" t="n">
        <v>157000</v>
      </c>
      <c r="AW6" s="40">
        <f>AV6/AU6</f>
        <v/>
      </c>
      <c r="AX6" s="41">
        <f>AW6*3.30578512</f>
        <v/>
      </c>
      <c r="AY6" s="11" t="n">
        <v>4645</v>
      </c>
      <c r="AZ6" s="31" t="n">
        <v>250910</v>
      </c>
      <c r="BA6" s="40">
        <f>AZ6/AY6</f>
        <v/>
      </c>
      <c r="BB6" s="41">
        <f>BA6*3.30578512</f>
        <v/>
      </c>
      <c r="BC6" s="11" t="n">
        <v>7686</v>
      </c>
      <c r="BD6" s="31" t="n">
        <v>363662.17517</v>
      </c>
      <c r="BE6" s="40">
        <f>BD6/BC6</f>
        <v/>
      </c>
      <c r="BF6" s="41">
        <f>BE6*3.30578512</f>
        <v/>
      </c>
      <c r="BG6" s="11" t="n">
        <v>12462</v>
      </c>
      <c r="BH6" s="31" t="n">
        <v>685329.04634</v>
      </c>
      <c r="BI6" s="40">
        <f>BH6/BG6</f>
        <v/>
      </c>
      <c r="BJ6" s="41">
        <f>BI6*3.30578512</f>
        <v/>
      </c>
    </row>
    <row r="7">
      <c r="B7" s="2" t="inlineStr">
        <is>
          <t>工場及び作業場</t>
        </is>
      </c>
      <c r="C7" s="11" t="n">
        <v>229990</v>
      </c>
      <c r="D7" s="31" t="n">
        <v>5185075</v>
      </c>
      <c r="E7" s="40">
        <f>D7/C7</f>
        <v/>
      </c>
      <c r="F7" s="41">
        <f>E7*3.30578512</f>
        <v/>
      </c>
      <c r="G7" s="11" t="n">
        <v>10490</v>
      </c>
      <c r="H7" s="31" t="n">
        <v>93064</v>
      </c>
      <c r="I7" s="40">
        <f>H7/G7</f>
        <v/>
      </c>
      <c r="J7" s="41">
        <f>I7*3.30578512</f>
        <v/>
      </c>
      <c r="K7" s="11" t="n">
        <v>24994</v>
      </c>
      <c r="L7" s="31" t="n">
        <v>485825</v>
      </c>
      <c r="M7" s="40">
        <f>L7/K7</f>
        <v/>
      </c>
      <c r="N7" s="41">
        <f>M7*3.30578512</f>
        <v/>
      </c>
      <c r="O7" s="11" t="n">
        <v>22450</v>
      </c>
      <c r="P7" s="31" t="n">
        <v>1435629</v>
      </c>
      <c r="Q7" s="40">
        <f>P7/O7</f>
        <v/>
      </c>
      <c r="R7" s="41">
        <f>Q7*3.30578512</f>
        <v/>
      </c>
      <c r="S7" s="11" t="n">
        <v>8420</v>
      </c>
      <c r="T7" s="31" t="n">
        <v>176370</v>
      </c>
      <c r="U7" s="40">
        <f>T7/S7</f>
        <v/>
      </c>
      <c r="V7" s="41">
        <f>U7*3.30578512</f>
        <v/>
      </c>
      <c r="W7" s="11" t="n">
        <v>107226</v>
      </c>
      <c r="X7" s="31" t="n">
        <v>2452202</v>
      </c>
      <c r="Y7" s="40">
        <f>X7/W7</f>
        <v/>
      </c>
      <c r="Z7" s="41">
        <f>Y7*3.30578512</f>
        <v/>
      </c>
      <c r="AA7" s="11" t="n">
        <v>14417</v>
      </c>
      <c r="AB7" s="31" t="n">
        <v>952900</v>
      </c>
      <c r="AC7" s="40">
        <f>AB7/AA7</f>
        <v/>
      </c>
      <c r="AD7" s="41">
        <f>AC7*3.30578512</f>
        <v/>
      </c>
      <c r="AE7" s="11" t="n">
        <v>1056</v>
      </c>
      <c r="AF7" s="31" t="n">
        <v>63500</v>
      </c>
      <c r="AG7" s="40">
        <f>AF7/AE7</f>
        <v/>
      </c>
      <c r="AH7" s="41">
        <f>AG7*3.30578512</f>
        <v/>
      </c>
      <c r="AI7" s="11" t="n">
        <v>380</v>
      </c>
      <c r="AJ7" s="31" t="n">
        <v>57440</v>
      </c>
      <c r="AK7" s="40">
        <f>AJ7/AI7</f>
        <v/>
      </c>
      <c r="AL7" s="41">
        <f>AK7*3.30578512</f>
        <v/>
      </c>
      <c r="AM7" s="11" t="n">
        <v>4600</v>
      </c>
      <c r="AN7" s="31" t="n">
        <v>115328</v>
      </c>
      <c r="AO7" s="40">
        <f>AN7/AM7</f>
        <v/>
      </c>
      <c r="AP7" s="41">
        <f>AO7*3.30578512</f>
        <v/>
      </c>
      <c r="AQ7" s="11" t="n">
        <v>6481</v>
      </c>
      <c r="AR7" s="31" t="n">
        <v>245050</v>
      </c>
      <c r="AS7" s="40">
        <f>AR7/AQ7</f>
        <v/>
      </c>
      <c r="AT7" s="41">
        <f>AS7*3.30578512</f>
        <v/>
      </c>
      <c r="AU7" s="11" t="n">
        <v>75089</v>
      </c>
      <c r="AV7" s="31" t="n">
        <v>2969080</v>
      </c>
      <c r="AW7" s="40">
        <f>AV7/AU7</f>
        <v/>
      </c>
      <c r="AX7" s="41">
        <f>AW7*3.30578512</f>
        <v/>
      </c>
      <c r="AY7" s="11" t="n">
        <v>7039</v>
      </c>
      <c r="AZ7" s="31" t="n">
        <v>190150</v>
      </c>
      <c r="BA7" s="40">
        <f>AZ7/AY7</f>
        <v/>
      </c>
      <c r="BB7" s="41">
        <f>BA7*3.30578512</f>
        <v/>
      </c>
      <c r="BC7" s="11" t="n">
        <v>11647</v>
      </c>
      <c r="BD7" s="31" t="n">
        <v>985376</v>
      </c>
      <c r="BE7" s="40">
        <f>BD7/BC7</f>
        <v/>
      </c>
      <c r="BF7" s="41">
        <f>BE7*3.30578512</f>
        <v/>
      </c>
      <c r="BG7" s="11" t="n">
        <v>6591</v>
      </c>
      <c r="BH7" s="31" t="n">
        <v>594050</v>
      </c>
      <c r="BI7" s="40">
        <f>BH7/BG7</f>
        <v/>
      </c>
      <c r="BJ7" s="41">
        <f>BI7*3.30578512</f>
        <v/>
      </c>
    </row>
    <row r="8">
      <c r="B8" s="2" t="inlineStr">
        <is>
          <t>倉庫</t>
        </is>
      </c>
      <c r="C8" s="11" t="n">
        <v>1031373</v>
      </c>
      <c r="D8" s="31" t="n">
        <v>13384389</v>
      </c>
      <c r="E8" s="40">
        <f>D8/C8</f>
        <v/>
      </c>
      <c r="F8" s="41">
        <f>E8*3.30578512</f>
        <v/>
      </c>
      <c r="G8" s="11" t="n">
        <v>382289</v>
      </c>
      <c r="H8" s="31" t="n">
        <v>4603680</v>
      </c>
      <c r="I8" s="40">
        <f>H8/G8</f>
        <v/>
      </c>
      <c r="J8" s="41">
        <f>I8*3.30578512</f>
        <v/>
      </c>
      <c r="K8" s="11" t="n">
        <v>273698</v>
      </c>
      <c r="L8" s="31" t="n">
        <v>2918396</v>
      </c>
      <c r="M8" s="40">
        <f>L8/K8</f>
        <v/>
      </c>
      <c r="N8" s="41">
        <f>M8*3.30578512</f>
        <v/>
      </c>
      <c r="O8" s="11" t="n">
        <v>458673</v>
      </c>
      <c r="P8" s="31" t="n">
        <v>6841976</v>
      </c>
      <c r="Q8" s="40">
        <f>P8/O8</f>
        <v/>
      </c>
      <c r="R8" s="41">
        <f>Q8*3.30578512</f>
        <v/>
      </c>
      <c r="S8" s="11" t="n">
        <v>1171</v>
      </c>
      <c r="T8" s="31" t="n">
        <v>41750</v>
      </c>
      <c r="U8" s="40">
        <f>T8/S8</f>
        <v/>
      </c>
      <c r="V8" s="41">
        <f>U8*3.30578512</f>
        <v/>
      </c>
      <c r="W8" s="11" t="n">
        <v>226910</v>
      </c>
      <c r="X8" s="31" t="n">
        <v>3484438</v>
      </c>
      <c r="Y8" s="40">
        <f>X8/W8</f>
        <v/>
      </c>
      <c r="Z8" s="41">
        <f>Y8*3.30578512</f>
        <v/>
      </c>
      <c r="AA8" s="11" t="n">
        <v>208410</v>
      </c>
      <c r="AB8" s="31" t="n">
        <v>2703090</v>
      </c>
      <c r="AC8" s="40">
        <f>AB8/AA8</f>
        <v/>
      </c>
      <c r="AD8" s="41">
        <f>AC8*3.30578512</f>
        <v/>
      </c>
      <c r="AE8" s="11" t="n">
        <v>565298</v>
      </c>
      <c r="AF8" s="31" t="n">
        <v>9002018</v>
      </c>
      <c r="AG8" s="40">
        <f>AF8/AE8</f>
        <v/>
      </c>
      <c r="AH8" s="41">
        <f>AG8*3.30578512</f>
        <v/>
      </c>
      <c r="AI8" s="11" t="n">
        <v>428385</v>
      </c>
      <c r="AJ8" s="31" t="n">
        <v>7280600</v>
      </c>
      <c r="AK8" s="40">
        <f>AJ8/AI8</f>
        <v/>
      </c>
      <c r="AL8" s="41">
        <f>AK8*3.30578512</f>
        <v/>
      </c>
      <c r="AM8" s="11" t="n">
        <v>266570</v>
      </c>
      <c r="AN8" s="31" t="n">
        <v>6278887</v>
      </c>
      <c r="AO8" s="40">
        <f>AN8/AM8</f>
        <v/>
      </c>
      <c r="AP8" s="41">
        <f>AO8*3.30578512</f>
        <v/>
      </c>
      <c r="AQ8" s="11" t="n">
        <v>72900</v>
      </c>
      <c r="AR8" s="31" t="n">
        <v>1278061</v>
      </c>
      <c r="AS8" s="40">
        <f>AR8/AQ8</f>
        <v/>
      </c>
      <c r="AT8" s="41">
        <f>AS8*3.30578512</f>
        <v/>
      </c>
      <c r="AU8" s="11" t="n">
        <v>67268</v>
      </c>
      <c r="AV8" s="31" t="n">
        <v>1471680</v>
      </c>
      <c r="AW8" s="40">
        <f>AV8/AU8</f>
        <v/>
      </c>
      <c r="AX8" s="41">
        <f>AW8*3.30578512</f>
        <v/>
      </c>
      <c r="AY8" s="11" t="n">
        <v>98948</v>
      </c>
      <c r="AZ8" s="31" t="n">
        <v>2231733</v>
      </c>
      <c r="BA8" s="40">
        <f>AZ8/AY8</f>
        <v/>
      </c>
      <c r="BB8" s="41">
        <f>BA8*3.30578512</f>
        <v/>
      </c>
      <c r="BC8" s="11" t="n">
        <v>526019</v>
      </c>
      <c r="BD8" s="31" t="n">
        <v>10420454.38193</v>
      </c>
      <c r="BE8" s="40">
        <f>BD8/BC8</f>
        <v/>
      </c>
      <c r="BF8" s="41">
        <f>BE8*3.30578512</f>
        <v/>
      </c>
      <c r="BG8" s="11" t="n">
        <v>701489</v>
      </c>
      <c r="BH8" s="31" t="n">
        <v>17963969.31319</v>
      </c>
      <c r="BI8" s="40">
        <f>BH8/BG8</f>
        <v/>
      </c>
      <c r="BJ8" s="41">
        <f>BI8*3.30578512</f>
        <v/>
      </c>
    </row>
    <row r="9">
      <c r="B9" s="2" t="inlineStr">
        <is>
          <t>学校の校舎</t>
        </is>
      </c>
      <c r="C9" s="11" t="n">
        <v>1835193</v>
      </c>
      <c r="D9" s="31" t="n">
        <v>50330867</v>
      </c>
      <c r="E9" s="40">
        <f>D9/C9</f>
        <v/>
      </c>
      <c r="F9" s="41">
        <f>E9*3.30578512</f>
        <v/>
      </c>
      <c r="G9" s="11" t="n">
        <v>51890</v>
      </c>
      <c r="H9" s="31" t="n">
        <v>1774216</v>
      </c>
      <c r="I9" s="40">
        <f>H9/G9</f>
        <v/>
      </c>
      <c r="J9" s="41">
        <f>I9*3.30578512</f>
        <v/>
      </c>
      <c r="K9" s="11" t="n">
        <v>116271</v>
      </c>
      <c r="L9" s="31" t="n">
        <v>3203689</v>
      </c>
      <c r="M9" s="40">
        <f>L9/K9</f>
        <v/>
      </c>
      <c r="N9" s="41">
        <f>M9*3.30578512</f>
        <v/>
      </c>
      <c r="O9" s="11" t="n">
        <v>173181</v>
      </c>
      <c r="P9" s="31" t="n">
        <v>6427432</v>
      </c>
      <c r="Q9" s="40">
        <f>P9/O9</f>
        <v/>
      </c>
      <c r="R9" s="41">
        <f>Q9*3.30578512</f>
        <v/>
      </c>
      <c r="S9" s="11" t="n">
        <v>88166</v>
      </c>
      <c r="T9" s="31" t="n">
        <v>2508835</v>
      </c>
      <c r="U9" s="40">
        <f>T9/S9</f>
        <v/>
      </c>
      <c r="V9" s="41">
        <f>U9*3.30578512</f>
        <v/>
      </c>
      <c r="W9" s="11" t="n">
        <v>62683</v>
      </c>
      <c r="X9" s="31" t="n">
        <v>2232198</v>
      </c>
      <c r="Y9" s="40">
        <f>X9/W9</f>
        <v/>
      </c>
      <c r="Z9" s="41">
        <f>Y9*3.30578512</f>
        <v/>
      </c>
      <c r="AA9" s="11" t="n">
        <v>85769</v>
      </c>
      <c r="AB9" s="31" t="n">
        <v>3909924</v>
      </c>
      <c r="AC9" s="40">
        <f>AB9/AA9</f>
        <v/>
      </c>
      <c r="AD9" s="41">
        <f>AC9*3.30578512</f>
        <v/>
      </c>
      <c r="AE9" s="11" t="n">
        <v>90258</v>
      </c>
      <c r="AF9" s="31" t="n">
        <v>3745219</v>
      </c>
      <c r="AG9" s="40">
        <f>AF9/AE9</f>
        <v/>
      </c>
      <c r="AH9" s="41">
        <f>AG9*3.30578512</f>
        <v/>
      </c>
      <c r="AI9" s="11" t="n">
        <v>34086</v>
      </c>
      <c r="AJ9" s="31" t="n">
        <v>1288005</v>
      </c>
      <c r="AK9" s="40">
        <f>AJ9/AI9</f>
        <v/>
      </c>
      <c r="AL9" s="41">
        <f>AK9*3.30578512</f>
        <v/>
      </c>
      <c r="AM9" s="11" t="n">
        <v>32190</v>
      </c>
      <c r="AN9" s="31" t="n">
        <v>1072003</v>
      </c>
      <c r="AO9" s="40">
        <f>AN9/AM9</f>
        <v/>
      </c>
      <c r="AP9" s="41">
        <f>AO9*3.30578512</f>
        <v/>
      </c>
      <c r="AQ9" s="11" t="n">
        <v>40077</v>
      </c>
      <c r="AR9" s="31" t="n">
        <v>1483873</v>
      </c>
      <c r="AS9" s="40">
        <f>AR9/AQ9</f>
        <v/>
      </c>
      <c r="AT9" s="41">
        <f>AS9*3.30578512</f>
        <v/>
      </c>
      <c r="AU9" s="11" t="n">
        <v>78959</v>
      </c>
      <c r="AV9" s="31" t="n">
        <v>3358800</v>
      </c>
      <c r="AW9" s="40">
        <f>AV9/AU9</f>
        <v/>
      </c>
      <c r="AX9" s="41">
        <f>AW9*3.30578512</f>
        <v/>
      </c>
      <c r="AY9" s="11" t="n">
        <v>61695</v>
      </c>
      <c r="AZ9" s="31" t="n">
        <v>3184395</v>
      </c>
      <c r="BA9" s="40">
        <f>AZ9/AY9</f>
        <v/>
      </c>
      <c r="BB9" s="41">
        <f>BA9*3.30578512</f>
        <v/>
      </c>
      <c r="BC9" s="11" t="n">
        <v>46855</v>
      </c>
      <c r="BD9" s="31" t="n">
        <v>2164665.50499</v>
      </c>
      <c r="BE9" s="40">
        <f>BD9/BC9</f>
        <v/>
      </c>
      <c r="BF9" s="41">
        <f>BE9*3.30578512</f>
        <v/>
      </c>
      <c r="BG9" s="11" t="n">
        <v>36837</v>
      </c>
      <c r="BH9" s="31" t="n">
        <v>1676479.07322</v>
      </c>
      <c r="BI9" s="40">
        <f>BH9/BG9</f>
        <v/>
      </c>
      <c r="BJ9" s="41">
        <f>BI9*3.30578512</f>
        <v/>
      </c>
    </row>
    <row r="10">
      <c r="B10" s="2" t="inlineStr">
        <is>
          <t>病院・診療所</t>
        </is>
      </c>
      <c r="C10" s="11" t="n">
        <v>1024242</v>
      </c>
      <c r="D10" s="31" t="n">
        <v>29249650</v>
      </c>
      <c r="E10" s="40">
        <f>D10/C10</f>
        <v/>
      </c>
      <c r="F10" s="41">
        <f>E10*3.30578512</f>
        <v/>
      </c>
      <c r="G10" s="11" t="n">
        <v>37579</v>
      </c>
      <c r="H10" s="31" t="n">
        <v>1256192</v>
      </c>
      <c r="I10" s="40">
        <f>H10/G10</f>
        <v/>
      </c>
      <c r="J10" s="41">
        <f>I10*3.30578512</f>
        <v/>
      </c>
      <c r="K10" s="11" t="n">
        <v>35646</v>
      </c>
      <c r="L10" s="31" t="n">
        <v>942009</v>
      </c>
      <c r="M10" s="40">
        <f>L10/K10</f>
        <v/>
      </c>
      <c r="N10" s="41">
        <f>M10*3.30578512</f>
        <v/>
      </c>
      <c r="O10" s="11" t="n">
        <v>30421</v>
      </c>
      <c r="P10" s="31" t="n">
        <v>1316334</v>
      </c>
      <c r="Q10" s="40">
        <f>P10/O10</f>
        <v/>
      </c>
      <c r="R10" s="41">
        <f>Q10*3.30578512</f>
        <v/>
      </c>
      <c r="S10" s="11" t="n">
        <v>51002</v>
      </c>
      <c r="T10" s="31" t="n">
        <v>1899726</v>
      </c>
      <c r="U10" s="40">
        <f>T10/S10</f>
        <v/>
      </c>
      <c r="V10" s="41">
        <f>U10*3.30578512</f>
        <v/>
      </c>
      <c r="W10" s="11" t="n">
        <v>53670</v>
      </c>
      <c r="X10" s="31" t="n">
        <v>2730012</v>
      </c>
      <c r="Y10" s="40">
        <f>X10/W10</f>
        <v/>
      </c>
      <c r="Z10" s="41">
        <f>Y10*3.30578512</f>
        <v/>
      </c>
      <c r="AA10" s="11" t="n">
        <v>131908</v>
      </c>
      <c r="AB10" s="31" t="n">
        <v>5493250</v>
      </c>
      <c r="AC10" s="40">
        <f>AB10/AA10</f>
        <v/>
      </c>
      <c r="AD10" s="41">
        <f>AC10*3.30578512</f>
        <v/>
      </c>
      <c r="AE10" s="11" t="n">
        <v>15684</v>
      </c>
      <c r="AF10" s="31" t="n">
        <v>747019</v>
      </c>
      <c r="AG10" s="40">
        <f>AF10/AE10</f>
        <v/>
      </c>
      <c r="AH10" s="41">
        <f>AG10*3.30578512</f>
        <v/>
      </c>
      <c r="AI10" s="11" t="n">
        <v>31814</v>
      </c>
      <c r="AJ10" s="31" t="n">
        <v>1390287</v>
      </c>
      <c r="AK10" s="40">
        <f>AJ10/AI10</f>
        <v/>
      </c>
      <c r="AL10" s="41">
        <f>AK10*3.30578512</f>
        <v/>
      </c>
      <c r="AM10" s="11" t="n">
        <v>4911</v>
      </c>
      <c r="AN10" s="31" t="n">
        <v>252510</v>
      </c>
      <c r="AO10" s="40">
        <f>AN10/AM10</f>
        <v/>
      </c>
      <c r="AP10" s="41">
        <f>AO10*3.30578512</f>
        <v/>
      </c>
      <c r="AQ10" s="11" t="n">
        <v>33521</v>
      </c>
      <c r="AR10" s="31" t="n">
        <v>1394000</v>
      </c>
      <c r="AS10" s="40">
        <f>AR10/AQ10</f>
        <v/>
      </c>
      <c r="AT10" s="41">
        <f>AS10*3.30578512</f>
        <v/>
      </c>
      <c r="AU10" s="11" t="n">
        <v>42760</v>
      </c>
      <c r="AV10" s="31" t="n">
        <v>2069660</v>
      </c>
      <c r="AW10" s="40">
        <f>AV10/AU10</f>
        <v/>
      </c>
      <c r="AX10" s="41">
        <f>AW10*3.30578512</f>
        <v/>
      </c>
      <c r="AY10" s="11" t="n">
        <v>56004</v>
      </c>
      <c r="AZ10" s="31" t="n">
        <v>1992480</v>
      </c>
      <c r="BA10" s="40">
        <f>AZ10/AY10</f>
        <v/>
      </c>
      <c r="BB10" s="41">
        <f>BA10*3.30578512</f>
        <v/>
      </c>
      <c r="BC10" s="11" t="n">
        <v>16968</v>
      </c>
      <c r="BD10" s="31" t="n">
        <v>834225.1137700001</v>
      </c>
      <c r="BE10" s="40">
        <f>BD10/BC10</f>
        <v/>
      </c>
      <c r="BF10" s="41">
        <f>BE10*3.30578512</f>
        <v/>
      </c>
      <c r="BG10" s="11" t="n">
        <v>16780</v>
      </c>
      <c r="BH10" s="31" t="n">
        <v>973237.3414499999</v>
      </c>
      <c r="BI10" s="40">
        <f>BH10/BG10</f>
        <v/>
      </c>
      <c r="BJ10" s="41">
        <f>BI10*3.30578512</f>
        <v/>
      </c>
    </row>
    <row r="11" ht="18.6" customHeight="1" thickBot="1">
      <c r="B11" s="2" t="inlineStr">
        <is>
          <t>その他</t>
        </is>
      </c>
      <c r="C11" s="15" t="n">
        <v>2863587</v>
      </c>
      <c r="D11" s="16" t="n">
        <v>79499077</v>
      </c>
      <c r="E11" s="42">
        <f>D11/C11</f>
        <v/>
      </c>
      <c r="F11" s="43">
        <f>E11*3.30578512</f>
        <v/>
      </c>
      <c r="G11" s="15" t="n">
        <v>145387</v>
      </c>
      <c r="H11" s="16" t="n">
        <v>8433486</v>
      </c>
      <c r="I11" s="42">
        <f>H11/G11</f>
        <v/>
      </c>
      <c r="J11" s="43">
        <f>I11*3.30578512</f>
        <v/>
      </c>
      <c r="K11" s="15" t="n">
        <v>139166</v>
      </c>
      <c r="L11" s="16" t="n">
        <v>4777887</v>
      </c>
      <c r="M11" s="42">
        <f>L11/K11</f>
        <v/>
      </c>
      <c r="N11" s="43">
        <f>M11*3.30578512</f>
        <v/>
      </c>
      <c r="O11" s="15" t="n">
        <v>108312</v>
      </c>
      <c r="P11" s="16" t="n">
        <v>4182521</v>
      </c>
      <c r="Q11" s="42">
        <f>P11/O11</f>
        <v/>
      </c>
      <c r="R11" s="43">
        <f>Q11*3.30578512</f>
        <v/>
      </c>
      <c r="S11" s="15" t="n">
        <v>196902</v>
      </c>
      <c r="T11" s="16" t="n">
        <v>9093172</v>
      </c>
      <c r="U11" s="42">
        <f>T11/S11</f>
        <v/>
      </c>
      <c r="V11" s="43">
        <f>U11*3.30578512</f>
        <v/>
      </c>
      <c r="W11" s="15" t="n">
        <v>124745</v>
      </c>
      <c r="X11" s="16" t="n">
        <v>5453712</v>
      </c>
      <c r="Y11" s="42">
        <f>X11/W11</f>
        <v/>
      </c>
      <c r="Z11" s="43">
        <f>Y11*3.30578512</f>
        <v/>
      </c>
      <c r="AA11" s="15" t="n">
        <v>162589</v>
      </c>
      <c r="AB11" s="16" t="n">
        <v>6832117</v>
      </c>
      <c r="AC11" s="42">
        <f>AB11/AA11</f>
        <v/>
      </c>
      <c r="AD11" s="43">
        <f>AC11*3.30578512</f>
        <v/>
      </c>
      <c r="AE11" s="15" t="n">
        <v>164354</v>
      </c>
      <c r="AF11" s="16" t="n">
        <v>8016236</v>
      </c>
      <c r="AG11" s="42">
        <f>AF11/AE11</f>
        <v/>
      </c>
      <c r="AH11" s="43">
        <f>AG11*3.30578512</f>
        <v/>
      </c>
      <c r="AI11" s="15" t="n">
        <v>155119</v>
      </c>
      <c r="AJ11" s="16" t="n">
        <v>6724494</v>
      </c>
      <c r="AK11" s="42">
        <f>AJ11/AI11</f>
        <v/>
      </c>
      <c r="AL11" s="43">
        <f>AK11*3.30578512</f>
        <v/>
      </c>
      <c r="AM11" s="15" t="n">
        <v>157352</v>
      </c>
      <c r="AN11" s="16" t="n">
        <v>8032040</v>
      </c>
      <c r="AO11" s="42">
        <f>AN11/AM11</f>
        <v/>
      </c>
      <c r="AP11" s="43">
        <f>AO11*3.30578512</f>
        <v/>
      </c>
      <c r="AQ11" s="15" t="n">
        <v>148141</v>
      </c>
      <c r="AR11" s="16" t="n">
        <v>7330161</v>
      </c>
      <c r="AS11" s="42">
        <f>AR11/AQ11</f>
        <v/>
      </c>
      <c r="AT11" s="43">
        <f>AS11*3.30578512</f>
        <v/>
      </c>
      <c r="AU11" s="15" t="n">
        <v>224207</v>
      </c>
      <c r="AV11" s="16" t="n">
        <v>13715335</v>
      </c>
      <c r="AW11" s="42">
        <f>AV11/AU11</f>
        <v/>
      </c>
      <c r="AX11" s="43">
        <f>AW11*3.30578512</f>
        <v/>
      </c>
      <c r="AY11" s="15" t="n">
        <v>129124</v>
      </c>
      <c r="AZ11" s="16" t="n">
        <v>6513811</v>
      </c>
      <c r="BA11" s="42">
        <f>AZ11/AY11</f>
        <v/>
      </c>
      <c r="BB11" s="43">
        <f>BA11*3.30578512</f>
        <v/>
      </c>
      <c r="BC11" s="15" t="n">
        <v>123812</v>
      </c>
      <c r="BD11" s="16" t="n">
        <v>6408679.0338</v>
      </c>
      <c r="BE11" s="42">
        <f>BD11/BC11</f>
        <v/>
      </c>
      <c r="BF11" s="43">
        <f>BE11*3.30578512</f>
        <v/>
      </c>
      <c r="BG11" s="15" t="n">
        <v>149719</v>
      </c>
      <c r="BH11" s="16" t="n">
        <v>6668545.8623</v>
      </c>
      <c r="BI11" s="42">
        <f>BH11/BG11</f>
        <v/>
      </c>
      <c r="BJ11" s="43">
        <f>BI11*3.30578512</f>
        <v/>
      </c>
    </row>
    <row r="12">
      <c r="BC12" s="44" t="n"/>
      <c r="BD12" s="44" t="n"/>
      <c r="BG12" s="44" t="n"/>
      <c r="BH12" s="4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L38"/>
  <sheetViews>
    <sheetView tabSelected="1" zoomScale="70" zoomScaleNormal="70" workbookViewId="0">
      <selection activeCell="FP34" sqref="FP34"/>
    </sheetView>
  </sheetViews>
  <sheetFormatPr baseColWidth="8" defaultColWidth="8.69921875" defaultRowHeight="18"/>
  <cols>
    <col width="2.796875" customWidth="1" style="2" min="1" max="1"/>
    <col width="14.296875" bestFit="1" customWidth="1" style="2" min="2" max="2"/>
    <col width="11.59765625" customWidth="1" style="2" min="3" max="196"/>
    <col width="8.69921875" customWidth="1" style="2" min="197" max="16384"/>
  </cols>
  <sheetData>
    <row r="1" ht="19.8" customHeight="1">
      <c r="A1" s="1" t="inlineStr">
        <is>
          <t>鉄骨造</t>
        </is>
      </c>
    </row>
    <row r="2" ht="20.4" customHeight="1" thickBot="1">
      <c r="A2" s="1" t="n"/>
    </row>
    <row r="3">
      <c r="C3" s="4" t="inlineStr">
        <is>
          <t>2015（基準）</t>
        </is>
      </c>
      <c r="D3" s="5" t="n"/>
      <c r="E3" s="5" t="n"/>
      <c r="F3" s="6" t="n"/>
      <c r="G3" s="4" t="inlineStr">
        <is>
          <t>令和4年1月分</t>
        </is>
      </c>
      <c r="H3" s="5" t="n"/>
      <c r="I3" s="5" t="n"/>
      <c r="J3" s="6" t="n"/>
      <c r="K3" s="4" t="inlineStr">
        <is>
          <t>令和4年2月分</t>
        </is>
      </c>
      <c r="M3" s="5" t="n"/>
      <c r="N3" s="6" t="n"/>
      <c r="O3" s="4" t="inlineStr">
        <is>
          <t>令和4年3月分</t>
        </is>
      </c>
      <c r="Q3" s="5" t="n"/>
      <c r="R3" s="6" t="n"/>
      <c r="S3" s="4" t="inlineStr">
        <is>
          <t>令和4年4月分</t>
        </is>
      </c>
      <c r="T3" s="5" t="n"/>
      <c r="U3" s="5" t="n"/>
      <c r="V3" s="6" t="n"/>
      <c r="W3" s="4" t="inlineStr">
        <is>
          <t>令和4年5月分</t>
        </is>
      </c>
      <c r="Y3" s="5" t="n"/>
      <c r="Z3" s="6" t="n"/>
      <c r="AA3" s="4" t="inlineStr">
        <is>
          <t>令和4年6月分</t>
        </is>
      </c>
      <c r="AC3" s="5" t="n"/>
      <c r="AD3" s="6" t="n"/>
      <c r="AE3" s="4" t="inlineStr">
        <is>
          <t>令和4年7月分</t>
        </is>
      </c>
      <c r="AF3" s="5" t="n"/>
      <c r="AG3" s="5" t="n"/>
      <c r="AH3" s="6" t="n"/>
      <c r="AI3" s="4" t="inlineStr">
        <is>
          <t>令和4年8月分</t>
        </is>
      </c>
      <c r="AK3" s="5" t="n"/>
      <c r="AL3" s="6" t="n"/>
      <c r="AM3" s="4" t="inlineStr">
        <is>
          <t>令和4年9月分</t>
        </is>
      </c>
      <c r="AO3" s="5" t="n"/>
      <c r="AP3" s="6" t="n"/>
      <c r="AQ3" s="4" t="inlineStr">
        <is>
          <t>令和4年10月分</t>
        </is>
      </c>
      <c r="AR3" s="5" t="n"/>
      <c r="AS3" s="5" t="n"/>
      <c r="AT3" s="6" t="n"/>
      <c r="AU3" s="4" t="inlineStr">
        <is>
          <t>令和4年11月分</t>
        </is>
      </c>
      <c r="AW3" s="5" t="n"/>
      <c r="AX3" s="6" t="n"/>
      <c r="AY3" s="4" t="inlineStr">
        <is>
          <t>令和4年12月分</t>
        </is>
      </c>
      <c r="AZ3" s="5" t="n"/>
      <c r="BA3" s="5" t="n"/>
      <c r="BB3" s="6" t="n"/>
      <c r="BC3" s="4" t="inlineStr">
        <is>
          <t>令和5年1月分</t>
        </is>
      </c>
      <c r="BD3" s="5" t="n"/>
      <c r="BE3" s="5" t="n"/>
      <c r="BF3" s="6" t="n"/>
      <c r="BG3" s="4" t="inlineStr">
        <is>
          <t>令和5年2月分</t>
        </is>
      </c>
      <c r="BI3" s="5" t="n"/>
      <c r="BJ3" s="6" t="n"/>
      <c r="BK3" s="4" t="inlineStr">
        <is>
          <t>令和5年3月分</t>
        </is>
      </c>
      <c r="BM3" s="5" t="n"/>
      <c r="BN3" s="6" t="n"/>
      <c r="BO3" s="4" t="inlineStr">
        <is>
          <t>令和5年4月分</t>
        </is>
      </c>
      <c r="BP3" s="5" t="n"/>
      <c r="BQ3" s="5" t="n"/>
      <c r="BR3" s="6" t="n"/>
      <c r="BS3" s="4" t="inlineStr">
        <is>
          <t>令和5年5月分</t>
        </is>
      </c>
      <c r="BU3" s="5" t="n"/>
      <c r="BV3" s="6" t="n"/>
      <c r="BW3" s="4" t="inlineStr">
        <is>
          <t>令和5年6月分</t>
        </is>
      </c>
      <c r="BY3" s="5" t="n"/>
      <c r="BZ3" s="6" t="n"/>
      <c r="CA3" s="4" t="inlineStr">
        <is>
          <t>令和5年7月分</t>
        </is>
      </c>
      <c r="CB3" s="5" t="n"/>
      <c r="CC3" s="5" t="n"/>
      <c r="CD3" s="6" t="n"/>
      <c r="CE3" s="4" t="inlineStr">
        <is>
          <t>令和5年8月分</t>
        </is>
      </c>
      <c r="CG3" s="5" t="n"/>
      <c r="CH3" s="6" t="n"/>
      <c r="CI3" s="4" t="inlineStr">
        <is>
          <t>令和5年9月分</t>
        </is>
      </c>
      <c r="CK3" s="5" t="n"/>
      <c r="CL3" s="6" t="n"/>
      <c r="CM3" s="4" t="inlineStr">
        <is>
          <t>令和5年10月分</t>
        </is>
      </c>
      <c r="CN3" s="5" t="n"/>
      <c r="CO3" s="5" t="n"/>
      <c r="CP3" s="6" t="n"/>
      <c r="CQ3" s="4" t="inlineStr">
        <is>
          <t>令和5年11月分</t>
        </is>
      </c>
      <c r="CS3" s="5" t="n"/>
      <c r="CT3" s="6" t="n"/>
      <c r="CU3" s="4" t="inlineStr">
        <is>
          <t>令和5年12月分</t>
        </is>
      </c>
      <c r="CV3" s="5" t="n"/>
      <c r="CW3" s="5" t="n"/>
      <c r="CX3" s="6" t="n"/>
      <c r="CY3" s="4" t="inlineStr">
        <is>
          <t>令和6年1月分</t>
        </is>
      </c>
      <c r="CZ3" s="5" t="n"/>
      <c r="DA3" s="5" t="n"/>
      <c r="DB3" s="6" t="n"/>
      <c r="DC3" s="4" t="inlineStr">
        <is>
          <t>令和6年2月分</t>
        </is>
      </c>
      <c r="DE3" s="5" t="n"/>
      <c r="DF3" s="6" t="n"/>
      <c r="DG3" s="4" t="inlineStr">
        <is>
          <t>令和6年3月分</t>
        </is>
      </c>
      <c r="DI3" s="5" t="n"/>
      <c r="DJ3" s="6" t="n"/>
      <c r="DK3" s="4" t="inlineStr">
        <is>
          <t>令和6年4月分</t>
        </is>
      </c>
      <c r="DL3" s="5" t="n"/>
      <c r="DM3" s="5" t="n"/>
      <c r="DN3" s="6" t="n"/>
      <c r="DO3" s="4" t="inlineStr">
        <is>
          <t>令和6年5月分</t>
        </is>
      </c>
      <c r="DQ3" s="5" t="n"/>
      <c r="DR3" s="6" t="n"/>
      <c r="DS3" s="4" t="inlineStr">
        <is>
          <t>令和6年6月分</t>
        </is>
      </c>
      <c r="DU3" s="5" t="n"/>
      <c r="DV3" s="6" t="n"/>
      <c r="DW3" s="4" t="inlineStr">
        <is>
          <t>令和6年7月分</t>
        </is>
      </c>
      <c r="DX3" s="5" t="n"/>
      <c r="DY3" s="5" t="n"/>
      <c r="DZ3" s="6" t="n"/>
      <c r="EA3" s="4" t="inlineStr">
        <is>
          <t>令和6年8月分</t>
        </is>
      </c>
      <c r="EC3" s="5" t="n"/>
      <c r="ED3" s="6" t="n"/>
      <c r="EE3" s="4" t="inlineStr">
        <is>
          <t>令和6年9月分</t>
        </is>
      </c>
      <c r="EG3" s="5" t="n"/>
      <c r="EH3" s="6" t="n"/>
      <c r="EI3" s="4" t="inlineStr">
        <is>
          <t>令和6年10月分</t>
        </is>
      </c>
      <c r="EJ3" s="5" t="n"/>
      <c r="EK3" s="5" t="n"/>
      <c r="EL3" s="6" t="n"/>
      <c r="EM3" s="4" t="inlineStr">
        <is>
          <t>令和6年11月分</t>
        </is>
      </c>
      <c r="EN3" s="5" t="n"/>
      <c r="EO3" s="5" t="n"/>
      <c r="EP3" s="6" t="n"/>
      <c r="EQ3" s="4" t="inlineStr">
        <is>
          <t>令和6年12月分</t>
        </is>
      </c>
      <c r="ER3" s="5" t="n"/>
      <c r="ES3" s="5" t="n"/>
      <c r="ET3" s="6" t="n"/>
      <c r="EU3" s="4" t="inlineStr">
        <is>
          <t>令和7年1月分</t>
        </is>
      </c>
      <c r="EV3" s="5" t="n"/>
      <c r="EW3" s="5" t="n"/>
      <c r="EX3" s="6" t="n"/>
      <c r="EY3" s="4" t="inlineStr">
        <is>
          <t>令和7年2月分</t>
        </is>
      </c>
      <c r="EZ3" s="5" t="n"/>
      <c r="FA3" s="5" t="n"/>
      <c r="FB3" s="6" t="n"/>
      <c r="FC3" s="4" t="inlineStr">
        <is>
          <t>令和7年3月分</t>
        </is>
      </c>
      <c r="FD3" s="5" t="n"/>
      <c r="FE3" s="5" t="n"/>
      <c r="FF3" s="6" t="n"/>
      <c r="FG3" s="4" t="inlineStr">
        <is>
          <t>令和7年4月分</t>
        </is>
      </c>
      <c r="FH3" s="5" t="n"/>
      <c r="FI3" s="5" t="n"/>
      <c r="FJ3" s="6" t="n"/>
      <c r="FK3" s="4" t="inlineStr">
        <is>
          <t>令和7年5月分</t>
        </is>
      </c>
      <c r="FL3" s="5" t="n"/>
      <c r="FM3" s="5" t="n"/>
      <c r="FN3" s="6" t="n"/>
      <c r="FO3" s="4" t="inlineStr">
        <is>
          <t>令和7年6月分</t>
        </is>
      </c>
      <c r="FP3" s="5" t="n"/>
      <c r="FQ3" s="5" t="n"/>
      <c r="FR3" s="6" t="n"/>
      <c r="FS3" s="4" t="inlineStr">
        <is>
          <t>令和7年7月分</t>
        </is>
      </c>
      <c r="FT3" s="5" t="n"/>
      <c r="FU3" s="5" t="n"/>
      <c r="FV3" s="6" t="n"/>
      <c r="FW3" s="4" t="inlineStr">
        <is>
          <t>令和7年8月分</t>
        </is>
      </c>
      <c r="FX3" s="5" t="n"/>
      <c r="FY3" s="5" t="n"/>
      <c r="FZ3" s="6" t="n"/>
    </row>
    <row r="4" ht="45" customHeight="1">
      <c r="C4" s="7" t="inlineStr">
        <is>
          <t>床面積の合計　（㎡）</t>
        </is>
      </c>
      <c r="D4" s="8" t="inlineStr">
        <is>
          <t>工事費予定額（万円）</t>
        </is>
      </c>
      <c r="E4" s="9" t="inlineStr">
        <is>
          <t>面積単価
（万円/㎡）</t>
        </is>
      </c>
      <c r="F4" s="10" t="inlineStr">
        <is>
          <t>面積単価
（万円/坪）</t>
        </is>
      </c>
      <c r="G4" s="7" t="inlineStr">
        <is>
          <t>床面積の合計　（㎡）</t>
        </is>
      </c>
      <c r="H4" s="8" t="inlineStr">
        <is>
          <t>工事費予定額（万円）</t>
        </is>
      </c>
      <c r="I4" s="9" t="inlineStr">
        <is>
          <t>面積単価
（万円/㎡）</t>
        </is>
      </c>
      <c r="J4" s="10" t="inlineStr">
        <is>
          <t>面積単価
（万円/坪）</t>
        </is>
      </c>
      <c r="K4" s="7" t="inlineStr">
        <is>
          <t>床面積の合計　（㎡）</t>
        </is>
      </c>
      <c r="L4" s="8" t="inlineStr">
        <is>
          <t>工事費予定額（万円）</t>
        </is>
      </c>
      <c r="M4" s="9" t="inlineStr">
        <is>
          <t>面積単価
（万円/㎡）</t>
        </is>
      </c>
      <c r="N4" s="10" t="inlineStr">
        <is>
          <t>面積単価
（万円/坪）</t>
        </is>
      </c>
      <c r="O4" s="7" t="inlineStr">
        <is>
          <t>床面積の合計　（㎡）</t>
        </is>
      </c>
      <c r="P4" s="8" t="inlineStr">
        <is>
          <t>工事費予定額（万円）</t>
        </is>
      </c>
      <c r="Q4" s="9" t="inlineStr">
        <is>
          <t>面積単価
（万円/㎡）</t>
        </is>
      </c>
      <c r="R4" s="10" t="inlineStr">
        <is>
          <t>面積単価
（万円/坪）</t>
        </is>
      </c>
      <c r="S4" s="7" t="inlineStr">
        <is>
          <t>床面積の合計　（㎡）</t>
        </is>
      </c>
      <c r="T4" s="8" t="inlineStr">
        <is>
          <t>工事費予定額（万円）</t>
        </is>
      </c>
      <c r="U4" s="9" t="inlineStr">
        <is>
          <t>面積単価
（万円/㎡）</t>
        </is>
      </c>
      <c r="V4" s="10" t="inlineStr">
        <is>
          <t>面積単価
（万円/坪）</t>
        </is>
      </c>
      <c r="W4" s="7" t="inlineStr">
        <is>
          <t>床面積の合計　（㎡）</t>
        </is>
      </c>
      <c r="X4" s="8" t="inlineStr">
        <is>
          <t>工事費予定額（万円）</t>
        </is>
      </c>
      <c r="Y4" s="9" t="inlineStr">
        <is>
          <t>面積単価
（万円/㎡）</t>
        </is>
      </c>
      <c r="Z4" s="10" t="inlineStr">
        <is>
          <t>面積単価
（万円/坪）</t>
        </is>
      </c>
      <c r="AA4" s="7" t="inlineStr">
        <is>
          <t>床面積の合計　（㎡）</t>
        </is>
      </c>
      <c r="AB4" s="8" t="inlineStr">
        <is>
          <t>工事費予定額（万円）</t>
        </is>
      </c>
      <c r="AC4" s="9" t="inlineStr">
        <is>
          <t>面積単価
（万円/㎡）</t>
        </is>
      </c>
      <c r="AD4" s="10" t="inlineStr">
        <is>
          <t>面積単価
（万円/坪）</t>
        </is>
      </c>
      <c r="AE4" s="7" t="inlineStr">
        <is>
          <t>床面積の合計　（㎡）</t>
        </is>
      </c>
      <c r="AF4" s="8" t="inlineStr">
        <is>
          <t>工事費予定額（万円）</t>
        </is>
      </c>
      <c r="AG4" s="9" t="inlineStr">
        <is>
          <t>面積単価
（万円/㎡）</t>
        </is>
      </c>
      <c r="AH4" s="10" t="inlineStr">
        <is>
          <t>面積単価
（万円/坪）</t>
        </is>
      </c>
      <c r="AI4" s="7" t="inlineStr">
        <is>
          <t>床面積の合計　（㎡）</t>
        </is>
      </c>
      <c r="AJ4" s="8" t="inlineStr">
        <is>
          <t>工事費予定額（万円）</t>
        </is>
      </c>
      <c r="AK4" s="9" t="inlineStr">
        <is>
          <t>面積単価
（万円/㎡）</t>
        </is>
      </c>
      <c r="AL4" s="10" t="inlineStr">
        <is>
          <t>面積単価
（万円/坪）</t>
        </is>
      </c>
      <c r="AM4" s="7" t="inlineStr">
        <is>
          <t>床面積の合計　（㎡）</t>
        </is>
      </c>
      <c r="AN4" s="8" t="inlineStr">
        <is>
          <t>工事費予定額（万円）</t>
        </is>
      </c>
      <c r="AO4" s="9" t="inlineStr">
        <is>
          <t>面積単価
（万円/㎡）</t>
        </is>
      </c>
      <c r="AP4" s="10" t="inlineStr">
        <is>
          <t>面積単価
（万円/坪）</t>
        </is>
      </c>
      <c r="AQ4" s="7" t="inlineStr">
        <is>
          <t>床面積の合計　（㎡）</t>
        </is>
      </c>
      <c r="AR4" s="8" t="inlineStr">
        <is>
          <t>工事費予定額（万円）</t>
        </is>
      </c>
      <c r="AS4" s="9" t="inlineStr">
        <is>
          <t>面積単価
（万円/㎡）</t>
        </is>
      </c>
      <c r="AT4" s="10" t="inlineStr">
        <is>
          <t>面積単価
（万円/坪）</t>
        </is>
      </c>
      <c r="AU4" s="7" t="inlineStr">
        <is>
          <t>床面積の合計　（㎡）</t>
        </is>
      </c>
      <c r="AV4" s="8" t="inlineStr">
        <is>
          <t>工事費予定額（万円）</t>
        </is>
      </c>
      <c r="AW4" s="9" t="inlineStr">
        <is>
          <t>面積単価
（万円/㎡）</t>
        </is>
      </c>
      <c r="AX4" s="10" t="inlineStr">
        <is>
          <t>面積単価
（万円/坪）</t>
        </is>
      </c>
      <c r="AY4" s="7" t="inlineStr">
        <is>
          <t>床面積の合計　（㎡）</t>
        </is>
      </c>
      <c r="AZ4" s="8" t="inlineStr">
        <is>
          <t>工事費予定額（万円）</t>
        </is>
      </c>
      <c r="BA4" s="9" t="inlineStr">
        <is>
          <t>面積単価
（万円/㎡）</t>
        </is>
      </c>
      <c r="BB4" s="10" t="inlineStr">
        <is>
          <t>面積単価
（万円/坪）</t>
        </is>
      </c>
      <c r="BC4" s="7" t="inlineStr">
        <is>
          <t>床面積の合計　（㎡）</t>
        </is>
      </c>
      <c r="BD4" s="8" t="inlineStr">
        <is>
          <t>工事費予定額（万円）</t>
        </is>
      </c>
      <c r="BE4" s="9" t="inlineStr">
        <is>
          <t>面積単価
（万円/㎡）</t>
        </is>
      </c>
      <c r="BF4" s="10" t="inlineStr">
        <is>
          <t>面積単価
（万円/坪）</t>
        </is>
      </c>
      <c r="BG4" s="7" t="inlineStr">
        <is>
          <t>床面積の合計　（㎡）</t>
        </is>
      </c>
      <c r="BH4" s="8" t="inlineStr">
        <is>
          <t>工事費予定額（万円）</t>
        </is>
      </c>
      <c r="BI4" s="9" t="inlineStr">
        <is>
          <t>面積単価
（万円/㎡）</t>
        </is>
      </c>
      <c r="BJ4" s="10" t="inlineStr">
        <is>
          <t>面積単価
（万円/坪）</t>
        </is>
      </c>
      <c r="BK4" s="7" t="inlineStr">
        <is>
          <t>床面積の合計　（㎡）</t>
        </is>
      </c>
      <c r="BL4" s="8" t="inlineStr">
        <is>
          <t>工事費予定額（万円）</t>
        </is>
      </c>
      <c r="BM4" s="9" t="inlineStr">
        <is>
          <t>面積単価
（万円/㎡）</t>
        </is>
      </c>
      <c r="BN4" s="10" t="inlineStr">
        <is>
          <t>面積単価
（万円/坪）</t>
        </is>
      </c>
      <c r="BO4" s="7" t="inlineStr">
        <is>
          <t>床面積の合計　（㎡）</t>
        </is>
      </c>
      <c r="BP4" s="8" t="inlineStr">
        <is>
          <t>工事費予定額（万円）</t>
        </is>
      </c>
      <c r="BQ4" s="9" t="inlineStr">
        <is>
          <t>面積単価
（万円/㎡）</t>
        </is>
      </c>
      <c r="BR4" s="10" t="inlineStr">
        <is>
          <t>面積単価
（万円/坪）</t>
        </is>
      </c>
      <c r="BS4" s="7" t="inlineStr">
        <is>
          <t>床面積の合計　（㎡）</t>
        </is>
      </c>
      <c r="BT4" s="8" t="inlineStr">
        <is>
          <t>工事費予定額（万円）</t>
        </is>
      </c>
      <c r="BU4" s="9" t="inlineStr">
        <is>
          <t>面積単価
（万円/㎡）</t>
        </is>
      </c>
      <c r="BV4" s="10" t="inlineStr">
        <is>
          <t>面積単価
（万円/坪）</t>
        </is>
      </c>
      <c r="BW4" s="7" t="inlineStr">
        <is>
          <t>床面積の合計　（㎡）</t>
        </is>
      </c>
      <c r="BX4" s="8" t="inlineStr">
        <is>
          <t>工事費予定額（万円）</t>
        </is>
      </c>
      <c r="BY4" s="9" t="inlineStr">
        <is>
          <t>面積単価
（万円/㎡）</t>
        </is>
      </c>
      <c r="BZ4" s="10" t="inlineStr">
        <is>
          <t>面積単価
（万円/坪）</t>
        </is>
      </c>
      <c r="CA4" s="7" t="inlineStr">
        <is>
          <t>床面積の合計　（㎡）</t>
        </is>
      </c>
      <c r="CB4" s="8" t="inlineStr">
        <is>
          <t>工事費予定額（万円）</t>
        </is>
      </c>
      <c r="CC4" s="9" t="inlineStr">
        <is>
          <t>面積単価
（万円/㎡）</t>
        </is>
      </c>
      <c r="CD4" s="10" t="inlineStr">
        <is>
          <t>面積単価
（万円/坪）</t>
        </is>
      </c>
      <c r="CE4" s="7" t="inlineStr">
        <is>
          <t>床面積の合計　（㎡）</t>
        </is>
      </c>
      <c r="CF4" s="8" t="inlineStr">
        <is>
          <t>工事費予定額（万円）</t>
        </is>
      </c>
      <c r="CG4" s="9" t="inlineStr">
        <is>
          <t>面積単価
（万円/㎡）</t>
        </is>
      </c>
      <c r="CH4" s="10" t="inlineStr">
        <is>
          <t>面積単価
（万円/坪）</t>
        </is>
      </c>
      <c r="CI4" s="7" t="inlineStr">
        <is>
          <t>床面積の合計　（㎡）</t>
        </is>
      </c>
      <c r="CJ4" s="8" t="inlineStr">
        <is>
          <t>工事費予定額（万円）</t>
        </is>
      </c>
      <c r="CK4" s="9" t="inlineStr">
        <is>
          <t>面積単価
（万円/㎡）</t>
        </is>
      </c>
      <c r="CL4" s="10" t="inlineStr">
        <is>
          <t>面積単価
（万円/坪）</t>
        </is>
      </c>
      <c r="CM4" s="7" t="inlineStr">
        <is>
          <t>床面積の合計　（㎡）</t>
        </is>
      </c>
      <c r="CN4" s="8" t="inlineStr">
        <is>
          <t>工事費予定額（万円）</t>
        </is>
      </c>
      <c r="CO4" s="9" t="inlineStr">
        <is>
          <t>面積単価
（万円/㎡）</t>
        </is>
      </c>
      <c r="CP4" s="10" t="inlineStr">
        <is>
          <t>面積単価
（万円/坪）</t>
        </is>
      </c>
      <c r="CQ4" s="7" t="inlineStr">
        <is>
          <t>床面積の合計　（㎡）</t>
        </is>
      </c>
      <c r="CR4" s="8" t="inlineStr">
        <is>
          <t>工事費予定額（万円）</t>
        </is>
      </c>
      <c r="CS4" s="9" t="inlineStr">
        <is>
          <t>面積単価
（万円/㎡）</t>
        </is>
      </c>
      <c r="CT4" s="10" t="inlineStr">
        <is>
          <t>面積単価
（万円/坪）</t>
        </is>
      </c>
      <c r="CU4" s="7" t="inlineStr">
        <is>
          <t>床面積の合計　（㎡）</t>
        </is>
      </c>
      <c r="CV4" s="8" t="inlineStr">
        <is>
          <t>工事費予定額（万円）</t>
        </is>
      </c>
      <c r="CW4" s="9" t="inlineStr">
        <is>
          <t>面積単価
（万円/㎡）</t>
        </is>
      </c>
      <c r="CX4" s="10" t="inlineStr">
        <is>
          <t>面積単価
（万円/坪）</t>
        </is>
      </c>
      <c r="CY4" s="7" t="inlineStr">
        <is>
          <t>床面積の合計　（㎡）</t>
        </is>
      </c>
      <c r="CZ4" s="8" t="inlineStr">
        <is>
          <t>工事費予定額（万円）</t>
        </is>
      </c>
      <c r="DA4" s="9" t="inlineStr">
        <is>
          <t>面積単価
（万円/㎡）</t>
        </is>
      </c>
      <c r="DB4" s="10" t="inlineStr">
        <is>
          <t>面積単価
（万円/坪）</t>
        </is>
      </c>
      <c r="DC4" s="7" t="inlineStr">
        <is>
          <t>床面積の合計　（㎡）</t>
        </is>
      </c>
      <c r="DD4" s="8" t="inlineStr">
        <is>
          <t>工事費予定額（万円）</t>
        </is>
      </c>
      <c r="DE4" s="9" t="inlineStr">
        <is>
          <t>面積単価
（万円/㎡）</t>
        </is>
      </c>
      <c r="DF4" s="10" t="inlineStr">
        <is>
          <t>面積単価
（万円/坪）</t>
        </is>
      </c>
      <c r="DG4" s="7" t="inlineStr">
        <is>
          <t>床面積の合計　（㎡）</t>
        </is>
      </c>
      <c r="DH4" s="8" t="inlineStr">
        <is>
          <t>工事費予定額（万円）</t>
        </is>
      </c>
      <c r="DI4" s="9" t="inlineStr">
        <is>
          <t>面積単価
（万円/㎡）</t>
        </is>
      </c>
      <c r="DJ4" s="10" t="inlineStr">
        <is>
          <t>面積単価
（万円/坪）</t>
        </is>
      </c>
      <c r="DK4" s="7" t="inlineStr">
        <is>
          <t>床面積の合計　（㎡）</t>
        </is>
      </c>
      <c r="DL4" s="8" t="inlineStr">
        <is>
          <t>工事費予定額（万円）</t>
        </is>
      </c>
      <c r="DM4" s="9" t="inlineStr">
        <is>
          <t>面積単価
（万円/㎡）</t>
        </is>
      </c>
      <c r="DN4" s="10" t="inlineStr">
        <is>
          <t>面積単価
（万円/坪）</t>
        </is>
      </c>
      <c r="DO4" s="7" t="inlineStr">
        <is>
          <t>床面積の合計　（㎡）</t>
        </is>
      </c>
      <c r="DP4" s="8" t="inlineStr">
        <is>
          <t>工事費予定額（万円）</t>
        </is>
      </c>
      <c r="DQ4" s="9" t="inlineStr">
        <is>
          <t>面積単価
（万円/㎡）</t>
        </is>
      </c>
      <c r="DR4" s="10" t="inlineStr">
        <is>
          <t>面積単価
（万円/坪）</t>
        </is>
      </c>
      <c r="DS4" s="7" t="inlineStr">
        <is>
          <t>床面積の合計　（㎡）</t>
        </is>
      </c>
      <c r="DT4" s="8" t="inlineStr">
        <is>
          <t>工事費予定額（万円）</t>
        </is>
      </c>
      <c r="DU4" s="9" t="inlineStr">
        <is>
          <t>面積単価
（万円/㎡）</t>
        </is>
      </c>
      <c r="DV4" s="10" t="inlineStr">
        <is>
          <t>面積単価
（万円/坪）</t>
        </is>
      </c>
      <c r="DW4" s="7" t="inlineStr">
        <is>
          <t>床面積の合計　（㎡）</t>
        </is>
      </c>
      <c r="DX4" s="8" t="inlineStr">
        <is>
          <t>工事費予定額（万円）</t>
        </is>
      </c>
      <c r="DY4" s="9" t="inlineStr">
        <is>
          <t>面積単価
（万円/㎡）</t>
        </is>
      </c>
      <c r="DZ4" s="10" t="inlineStr">
        <is>
          <t>面積単価
（万円/坪）</t>
        </is>
      </c>
      <c r="EA4" s="7" t="inlineStr">
        <is>
          <t>床面積の合計　（㎡）</t>
        </is>
      </c>
      <c r="EB4" s="8" t="inlineStr">
        <is>
          <t>工事費予定額（万円）</t>
        </is>
      </c>
      <c r="EC4" s="9" t="inlineStr">
        <is>
          <t>面積単価
（万円/㎡）</t>
        </is>
      </c>
      <c r="ED4" s="10" t="inlineStr">
        <is>
          <t>面積単価
（万円/坪）</t>
        </is>
      </c>
      <c r="EE4" s="7" t="inlineStr">
        <is>
          <t>床面積の合計　（㎡）</t>
        </is>
      </c>
      <c r="EF4" s="8" t="inlineStr">
        <is>
          <t>工事費予定額（万円）</t>
        </is>
      </c>
      <c r="EG4" s="9" t="inlineStr">
        <is>
          <t>面積単価
（万円/㎡）</t>
        </is>
      </c>
      <c r="EH4" s="10" t="inlineStr">
        <is>
          <t>面積単価
（万円/坪）</t>
        </is>
      </c>
      <c r="EI4" s="7" t="inlineStr">
        <is>
          <t>床面積の合計　（㎡）</t>
        </is>
      </c>
      <c r="EJ4" s="8" t="inlineStr">
        <is>
          <t>工事費予定額（万円）</t>
        </is>
      </c>
      <c r="EK4" s="9" t="inlineStr">
        <is>
          <t>面積単価
（万円/㎡）</t>
        </is>
      </c>
      <c r="EL4" s="10" t="inlineStr">
        <is>
          <t>面積単価
（万円/坪）</t>
        </is>
      </c>
      <c r="EM4" s="7" t="inlineStr">
        <is>
          <t>床面積の合計　（㎡）</t>
        </is>
      </c>
      <c r="EN4" s="8" t="inlineStr">
        <is>
          <t>工事費予定額（万円）</t>
        </is>
      </c>
      <c r="EO4" s="9" t="inlineStr">
        <is>
          <t>面積単価
（万円/㎡）</t>
        </is>
      </c>
      <c r="EP4" s="10" t="inlineStr">
        <is>
          <t>面積単価
（万円/坪）</t>
        </is>
      </c>
      <c r="EQ4" s="7" t="inlineStr">
        <is>
          <t>床面積の合計　（㎡）</t>
        </is>
      </c>
      <c r="ER4" s="8" t="inlineStr">
        <is>
          <t>工事費予定額（万円）</t>
        </is>
      </c>
      <c r="ES4" s="9" t="inlineStr">
        <is>
          <t>面積単価
（万円/㎡）</t>
        </is>
      </c>
      <c r="ET4" s="10" t="inlineStr">
        <is>
          <t>面積単価
（万円/坪）</t>
        </is>
      </c>
      <c r="EU4" s="7" t="inlineStr">
        <is>
          <t>床面積の合計　（㎡）</t>
        </is>
      </c>
      <c r="EV4" s="8" t="inlineStr">
        <is>
          <t>工事費予定額（万円）</t>
        </is>
      </c>
      <c r="EW4" s="9" t="inlineStr">
        <is>
          <t>面積単価
（万円/㎡）</t>
        </is>
      </c>
      <c r="EX4" s="10" t="inlineStr">
        <is>
          <t>面積単価
（万円/坪）</t>
        </is>
      </c>
      <c r="EY4" s="7" t="inlineStr">
        <is>
          <t>床面積の合計　（㎡）</t>
        </is>
      </c>
      <c r="EZ4" s="8" t="inlineStr">
        <is>
          <t>工事費予定額（万円）</t>
        </is>
      </c>
      <c r="FA4" s="9" t="inlineStr">
        <is>
          <t>面積単価
（万円/㎡）</t>
        </is>
      </c>
      <c r="FB4" s="10" t="inlineStr">
        <is>
          <t>面積単価
（万円/坪）</t>
        </is>
      </c>
      <c r="FC4" s="7" t="inlineStr">
        <is>
          <t>床面積の合計　（㎡）</t>
        </is>
      </c>
      <c r="FD4" s="8" t="inlineStr">
        <is>
          <t>工事費予定額（万円）</t>
        </is>
      </c>
      <c r="FE4" s="9" t="inlineStr">
        <is>
          <t>面積単価
（万円/㎡）</t>
        </is>
      </c>
      <c r="FF4" s="10" t="inlineStr">
        <is>
          <t>面積単価
（万円/坪）</t>
        </is>
      </c>
      <c r="FG4" s="7" t="inlineStr">
        <is>
          <t>床面積の合計　（㎡）</t>
        </is>
      </c>
      <c r="FH4" s="8" t="inlineStr">
        <is>
          <t>工事費予定額（万円）</t>
        </is>
      </c>
      <c r="FI4" s="9" t="inlineStr">
        <is>
          <t>面積単価
（万円/㎡）</t>
        </is>
      </c>
      <c r="FJ4" s="10" t="inlineStr">
        <is>
          <t>面積単価
（万円/坪）</t>
        </is>
      </c>
      <c r="FK4" s="7" t="inlineStr">
        <is>
          <t>床面積の合計　（㎡）</t>
        </is>
      </c>
      <c r="FL4" s="8" t="inlineStr">
        <is>
          <t>工事費予定額（万円）</t>
        </is>
      </c>
      <c r="FM4" s="9" t="inlineStr">
        <is>
          <t>面積単価
（万円/㎡）</t>
        </is>
      </c>
      <c r="FN4" s="10" t="inlineStr">
        <is>
          <t>面積単価
（万円/坪）</t>
        </is>
      </c>
      <c r="FO4" s="7" t="inlineStr">
        <is>
          <t>床面積の合計　（㎡）</t>
        </is>
      </c>
      <c r="FP4" s="8" t="inlineStr">
        <is>
          <t>工事費予定額（万円）</t>
        </is>
      </c>
      <c r="FQ4" s="9" t="inlineStr">
        <is>
          <t>面積単価
（万円/㎡）</t>
        </is>
      </c>
      <c r="FR4" s="10" t="inlineStr">
        <is>
          <t>面積単価
（万円/坪）</t>
        </is>
      </c>
      <c r="FS4" s="7" t="inlineStr">
        <is>
          <t>床面積の合計　（㎡）</t>
        </is>
      </c>
      <c r="FT4" s="8" t="inlineStr">
        <is>
          <t>工事費予定額（万円）</t>
        </is>
      </c>
      <c r="FU4" s="9" t="inlineStr">
        <is>
          <t>面積単価
（万円/㎡）</t>
        </is>
      </c>
      <c r="FV4" s="10" t="inlineStr">
        <is>
          <t>面積単価
（万円/坪）</t>
        </is>
      </c>
      <c r="FW4" s="7" t="inlineStr">
        <is>
          <t>床面積の合計　（㎡）</t>
        </is>
      </c>
      <c r="FX4" s="8" t="inlineStr">
        <is>
          <t>工事費予定額（万円）</t>
        </is>
      </c>
      <c r="FY4" s="9" t="inlineStr">
        <is>
          <t>面積単価
（万円/㎡）</t>
        </is>
      </c>
      <c r="FZ4" s="10" t="inlineStr">
        <is>
          <t>面積単価
（万円/坪）</t>
        </is>
      </c>
    </row>
    <row r="5">
      <c r="B5" s="2" t="inlineStr">
        <is>
          <t>事務所</t>
        </is>
      </c>
      <c r="C5" s="11" t="n">
        <v>4986837</v>
      </c>
      <c r="D5" s="31" t="n">
        <v>138290050</v>
      </c>
      <c r="E5" s="40">
        <f>D5/C5</f>
        <v/>
      </c>
      <c r="F5" s="41">
        <f>E5*3.30578512</f>
        <v/>
      </c>
      <c r="G5" s="11" t="n">
        <v>304427</v>
      </c>
      <c r="H5" s="31" t="n">
        <v>9964888</v>
      </c>
      <c r="I5" s="40">
        <f>H5/G5</f>
        <v/>
      </c>
      <c r="J5" s="41">
        <f>I5*3.30578512</f>
        <v/>
      </c>
      <c r="K5" s="11" t="n">
        <v>234568</v>
      </c>
      <c r="L5" s="31" t="n">
        <v>7178890</v>
      </c>
      <c r="M5" s="40">
        <f>L5/K5</f>
        <v/>
      </c>
      <c r="N5" s="41">
        <f>M5*3.30578512</f>
        <v/>
      </c>
      <c r="O5" s="11" t="n">
        <v>326568</v>
      </c>
      <c r="P5" s="31" t="n">
        <v>8655630</v>
      </c>
      <c r="Q5" s="40">
        <f>P5/O5</f>
        <v/>
      </c>
      <c r="R5" s="41">
        <f>Q5*3.30578512</f>
        <v/>
      </c>
      <c r="S5" s="11" t="n">
        <v>372268</v>
      </c>
      <c r="T5" s="31" t="n">
        <v>11180130</v>
      </c>
      <c r="U5" s="40">
        <f>T5/S5</f>
        <v/>
      </c>
      <c r="V5" s="41">
        <f>U5*3.30578512</f>
        <v/>
      </c>
      <c r="W5" s="11" t="n">
        <v>251106</v>
      </c>
      <c r="X5" s="31" t="n">
        <v>9823521</v>
      </c>
      <c r="Y5" s="40">
        <f>X5/W5</f>
        <v/>
      </c>
      <c r="Z5" s="41">
        <f>Y5*3.30578512</f>
        <v/>
      </c>
      <c r="AA5" s="11" t="n">
        <v>384784</v>
      </c>
      <c r="AB5" s="31" t="n">
        <v>13228464</v>
      </c>
      <c r="AC5" s="40">
        <f>AB5/AA5</f>
        <v/>
      </c>
      <c r="AD5" s="41">
        <f>AC5*3.30578512</f>
        <v/>
      </c>
      <c r="AE5" s="11" t="n">
        <v>438227</v>
      </c>
      <c r="AF5" s="31" t="n">
        <v>19316127</v>
      </c>
      <c r="AG5" s="40">
        <f>AF5/AE5</f>
        <v/>
      </c>
      <c r="AH5" s="41">
        <f>AG5*3.30578512</f>
        <v/>
      </c>
      <c r="AI5" s="11" t="n">
        <v>288928</v>
      </c>
      <c r="AJ5" s="31" t="n">
        <v>8129108</v>
      </c>
      <c r="AK5" s="40">
        <f>AJ5/AI5</f>
        <v/>
      </c>
      <c r="AL5" s="41">
        <f>AK5*3.30578512</f>
        <v/>
      </c>
      <c r="AM5" s="11" t="n">
        <v>416123</v>
      </c>
      <c r="AN5" s="31" t="n">
        <v>18487312</v>
      </c>
      <c r="AO5" s="40">
        <f>AN5/AM5</f>
        <v/>
      </c>
      <c r="AP5" s="41">
        <f>AO5*3.30578512</f>
        <v/>
      </c>
      <c r="AQ5" s="11" t="n">
        <v>335080</v>
      </c>
      <c r="AR5" s="31" t="n">
        <v>11983171</v>
      </c>
      <c r="AS5" s="40">
        <f>AR5/AQ5</f>
        <v/>
      </c>
      <c r="AT5" s="41">
        <f>AS5*3.30578512</f>
        <v/>
      </c>
      <c r="AU5" s="11" t="n">
        <v>396639</v>
      </c>
      <c r="AV5" s="31" t="n">
        <v>14275145</v>
      </c>
      <c r="AW5" s="40">
        <f>AV5/AU5</f>
        <v/>
      </c>
      <c r="AX5" s="41">
        <f>AW5*3.30578512</f>
        <v/>
      </c>
      <c r="AY5" s="11" t="n">
        <v>243333</v>
      </c>
      <c r="AZ5" s="31" t="n">
        <v>11055431</v>
      </c>
      <c r="BA5" s="40">
        <f>AZ5/AY5</f>
        <v/>
      </c>
      <c r="BB5" s="41">
        <f>BA5*3.30578512</f>
        <v/>
      </c>
      <c r="BC5" s="11" t="n">
        <v>265880</v>
      </c>
      <c r="BD5" s="31" t="n">
        <v>9030358</v>
      </c>
      <c r="BE5" s="40">
        <f>BD5/BC5</f>
        <v/>
      </c>
      <c r="BF5" s="41">
        <f>BE5*3.30578512</f>
        <v/>
      </c>
      <c r="BG5" s="11" t="n">
        <v>252616</v>
      </c>
      <c r="BH5" s="31" t="n">
        <v>8814267</v>
      </c>
      <c r="BI5" s="40">
        <f>BH5/BG5</f>
        <v/>
      </c>
      <c r="BJ5" s="41">
        <f>BI5*3.30578512</f>
        <v/>
      </c>
      <c r="BK5" s="11" t="n">
        <v>262835</v>
      </c>
      <c r="BL5" s="31" t="n">
        <v>9011710</v>
      </c>
      <c r="BM5" s="40">
        <f>BL5/BK5</f>
        <v/>
      </c>
      <c r="BN5" s="41">
        <f>BM5*3.30578512</f>
        <v/>
      </c>
      <c r="BO5" s="11" t="n">
        <v>375752</v>
      </c>
      <c r="BP5" s="31" t="n">
        <v>13476755</v>
      </c>
      <c r="BQ5" s="40">
        <f>BP5/BO5</f>
        <v/>
      </c>
      <c r="BR5" s="41">
        <f>BQ5*3.30578512</f>
        <v/>
      </c>
      <c r="BS5" s="11" t="n">
        <v>265069</v>
      </c>
      <c r="BT5" s="31" t="n">
        <v>9528771</v>
      </c>
      <c r="BU5" s="40">
        <f>BT5/BS5</f>
        <v/>
      </c>
      <c r="BV5" s="41">
        <f>BU5*3.30578512</f>
        <v/>
      </c>
      <c r="BW5" s="11" t="n">
        <v>283220</v>
      </c>
      <c r="BX5" s="31" t="n">
        <v>10474266</v>
      </c>
      <c r="BY5" s="40">
        <f>BX5/BW5</f>
        <v/>
      </c>
      <c r="BZ5" s="41">
        <f>BY5*3.30578512</f>
        <v/>
      </c>
      <c r="CA5" s="11" t="n">
        <v>371653</v>
      </c>
      <c r="CB5" s="31" t="n">
        <v>17028276</v>
      </c>
      <c r="CC5" s="40">
        <f>CB5/CA5</f>
        <v/>
      </c>
      <c r="CD5" s="41">
        <f>CC5*3.30578512</f>
        <v/>
      </c>
      <c r="CE5" s="11" t="n">
        <v>177442</v>
      </c>
      <c r="CF5" s="31" t="n">
        <v>6836406</v>
      </c>
      <c r="CG5" s="40">
        <f>CF5/CE5</f>
        <v/>
      </c>
      <c r="CH5" s="41">
        <f>CG5*3.30578512</f>
        <v/>
      </c>
      <c r="CI5" s="11" t="n">
        <v>264665</v>
      </c>
      <c r="CJ5" s="31" t="n">
        <v>10186205</v>
      </c>
      <c r="CK5" s="40">
        <f>CJ5/CI5</f>
        <v/>
      </c>
      <c r="CL5" s="41">
        <f>CK5*3.30578512</f>
        <v/>
      </c>
      <c r="CM5" s="11" t="n">
        <v>301774</v>
      </c>
      <c r="CN5" s="31" t="n">
        <v>11024756</v>
      </c>
      <c r="CO5" s="40">
        <f>CN5/CM5</f>
        <v/>
      </c>
      <c r="CP5" s="41">
        <f>CO5*3.30578512</f>
        <v/>
      </c>
      <c r="CQ5" s="11" t="n">
        <v>293557</v>
      </c>
      <c r="CR5" s="31" t="n">
        <v>10566113</v>
      </c>
      <c r="CS5" s="40">
        <f>CR5/CQ5</f>
        <v/>
      </c>
      <c r="CT5" s="41">
        <f>CS5*3.30578512</f>
        <v/>
      </c>
      <c r="CU5" s="11" t="n">
        <v>772017</v>
      </c>
      <c r="CV5" s="31" t="n">
        <v>49470449</v>
      </c>
      <c r="CW5" s="40">
        <f>CV5/CU5</f>
        <v/>
      </c>
      <c r="CX5" s="41">
        <f>CW5*3.30578512</f>
        <v/>
      </c>
      <c r="CY5" s="11" t="n">
        <v>696891</v>
      </c>
      <c r="CZ5" s="31" t="n">
        <v>28702203</v>
      </c>
      <c r="DA5" s="40">
        <f>CZ5/CY5</f>
        <v/>
      </c>
      <c r="DB5" s="41">
        <f>DA5*3.30578512</f>
        <v/>
      </c>
      <c r="DC5" s="11" t="n">
        <v>294618</v>
      </c>
      <c r="DD5" s="31" t="n">
        <v>12178890</v>
      </c>
      <c r="DE5" s="40">
        <f>DD5/DC5</f>
        <v/>
      </c>
      <c r="DF5" s="41">
        <f>DE5*3.30578512</f>
        <v/>
      </c>
      <c r="DG5" s="11" t="n">
        <v>609659</v>
      </c>
      <c r="DH5" s="31" t="n">
        <v>25614822</v>
      </c>
      <c r="DI5" s="40">
        <f>DH5/DG5</f>
        <v/>
      </c>
      <c r="DJ5" s="41">
        <f>DI5*3.30578512</f>
        <v/>
      </c>
      <c r="DK5" s="11" t="n">
        <v>346102</v>
      </c>
      <c r="DL5" s="31" t="n">
        <v>15827781</v>
      </c>
      <c r="DM5" s="40">
        <f>DL5/DK5</f>
        <v/>
      </c>
      <c r="DN5" s="41">
        <f>DM5*3.30578512</f>
        <v/>
      </c>
      <c r="DO5" s="11" t="n">
        <v>350082</v>
      </c>
      <c r="DP5" s="31" t="n">
        <v>8443971</v>
      </c>
      <c r="DQ5" s="40">
        <f>DP5/DO5</f>
        <v/>
      </c>
      <c r="DR5" s="41">
        <f>DQ5*3.30578512</f>
        <v/>
      </c>
      <c r="DS5" s="11" t="n">
        <v>265989</v>
      </c>
      <c r="DT5" s="31" t="n">
        <v>12465579</v>
      </c>
      <c r="DU5" s="40">
        <f>DT5/DS5</f>
        <v/>
      </c>
      <c r="DV5" s="41">
        <f>DU5*3.30578512</f>
        <v/>
      </c>
      <c r="DW5" s="11" t="n">
        <v>628940</v>
      </c>
      <c r="DX5" s="31" t="n">
        <v>25489877</v>
      </c>
      <c r="DY5" s="40">
        <f>DX5/DW5</f>
        <v/>
      </c>
      <c r="DZ5" s="41">
        <f>DY5*3.30578512</f>
        <v/>
      </c>
      <c r="EA5" s="11" t="n">
        <v>166485</v>
      </c>
      <c r="EB5" s="31" t="n">
        <v>7412704</v>
      </c>
      <c r="EC5" s="40">
        <f>EB5/EA5</f>
        <v/>
      </c>
      <c r="ED5" s="41">
        <f>EC5*3.30578512</f>
        <v/>
      </c>
      <c r="EE5" s="11" t="n">
        <v>274097</v>
      </c>
      <c r="EF5" s="31" t="n">
        <v>11321662</v>
      </c>
      <c r="EG5" s="40">
        <f>EF5/EE5</f>
        <v/>
      </c>
      <c r="EH5" s="41">
        <f>EG5*3.30578512</f>
        <v/>
      </c>
      <c r="EI5" s="11" t="n">
        <v>254290</v>
      </c>
      <c r="EJ5" s="31" t="n">
        <v>10139886</v>
      </c>
      <c r="EK5" s="40">
        <f>EJ5/EI5</f>
        <v/>
      </c>
      <c r="EL5" s="41">
        <f>EK5*3.30578512</f>
        <v/>
      </c>
      <c r="EM5" s="11" t="n">
        <v>170842</v>
      </c>
      <c r="EN5" s="31" t="n">
        <v>6032659</v>
      </c>
      <c r="EO5" s="40">
        <f>EN5/EM5</f>
        <v/>
      </c>
      <c r="EP5" s="41">
        <f>EO5*3.30578512</f>
        <v/>
      </c>
      <c r="EQ5" s="11" t="n">
        <v>206504</v>
      </c>
      <c r="ER5" s="31" t="n">
        <v>8393466</v>
      </c>
      <c r="ES5" s="40">
        <f>ER5/EQ5</f>
        <v/>
      </c>
      <c r="ET5" s="41">
        <f>ES5*3.30578512</f>
        <v/>
      </c>
      <c r="EU5" s="11" t="n">
        <v>266043</v>
      </c>
      <c r="EV5" s="31" t="n">
        <v>12105799.10382</v>
      </c>
      <c r="EW5" s="40">
        <f>EV5/EU5</f>
        <v/>
      </c>
      <c r="EX5" s="41">
        <f>EW5*3.30578512</f>
        <v/>
      </c>
      <c r="EY5" s="11" t="n">
        <v>186444</v>
      </c>
      <c r="EZ5" s="31" t="n">
        <v>6580223.58564</v>
      </c>
      <c r="FA5" s="40">
        <f>EZ5/EY5</f>
        <v/>
      </c>
      <c r="FB5" s="41">
        <f>FA5*3.30578512</f>
        <v/>
      </c>
      <c r="FC5" s="11" t="n">
        <v>539369</v>
      </c>
      <c r="FD5" s="31" t="n">
        <v>38448948.41525</v>
      </c>
      <c r="FE5" s="40">
        <f>FD5/FC5</f>
        <v/>
      </c>
      <c r="FF5" s="41">
        <f>FE5*3.30578512</f>
        <v/>
      </c>
      <c r="FG5" s="11" t="n">
        <v>331956</v>
      </c>
      <c r="FH5" s="31" t="n">
        <v>16259901.10851</v>
      </c>
      <c r="FI5" s="40">
        <f>FH5/FG5</f>
        <v/>
      </c>
      <c r="FJ5" s="41">
        <f>FI5*3.30578512</f>
        <v/>
      </c>
      <c r="FK5" s="11" t="n">
        <v>266452</v>
      </c>
      <c r="FL5" s="31" t="n">
        <v>13057560.06959</v>
      </c>
      <c r="FM5" s="40">
        <f>FL5/FK5</f>
        <v/>
      </c>
      <c r="FN5" s="41">
        <f>FM5*3.30578512</f>
        <v/>
      </c>
      <c r="FO5" s="11" t="n"/>
      <c r="FP5" s="31" t="n"/>
      <c r="FQ5" s="40">
        <f>FP5/FO5</f>
        <v/>
      </c>
      <c r="FR5" s="41">
        <f>FQ5*3.30578512</f>
        <v/>
      </c>
      <c r="FS5" s="11" t="n"/>
      <c r="FT5" s="31" t="n"/>
      <c r="FU5" s="40">
        <f>FT5/FS5</f>
        <v/>
      </c>
      <c r="FV5" s="41">
        <f>FU5*3.30578512</f>
        <v/>
      </c>
      <c r="FW5" s="11" t="n"/>
      <c r="FX5" s="31" t="n"/>
      <c r="FY5" s="40">
        <f>FX5/FW5</f>
        <v/>
      </c>
      <c r="FZ5" s="41">
        <f>FY5*3.30578512</f>
        <v/>
      </c>
    </row>
    <row r="6">
      <c r="B6" s="2" t="inlineStr">
        <is>
          <t>店舗</t>
        </is>
      </c>
      <c r="C6" s="11" t="n">
        <v>5648530</v>
      </c>
      <c r="D6" s="31" t="n">
        <v>91415609</v>
      </c>
      <c r="E6" s="40">
        <f>D6/C6</f>
        <v/>
      </c>
      <c r="F6" s="41">
        <f>E6*3.30578512</f>
        <v/>
      </c>
      <c r="G6" s="11" t="n">
        <v>235062</v>
      </c>
      <c r="H6" s="31" t="n">
        <v>4409546</v>
      </c>
      <c r="I6" s="40">
        <f>H6/G6</f>
        <v/>
      </c>
      <c r="J6" s="41">
        <f>I6*3.30578512</f>
        <v/>
      </c>
      <c r="K6" s="11" t="n">
        <v>340618</v>
      </c>
      <c r="L6" s="31" t="n">
        <v>5562274</v>
      </c>
      <c r="M6" s="40">
        <f>L6/K6</f>
        <v/>
      </c>
      <c r="N6" s="41">
        <f>M6*3.30578512</f>
        <v/>
      </c>
      <c r="O6" s="11" t="n">
        <v>285237</v>
      </c>
      <c r="P6" s="31" t="n">
        <v>4767054</v>
      </c>
      <c r="Q6" s="40">
        <f>P6/O6</f>
        <v/>
      </c>
      <c r="R6" s="41">
        <f>Q6*3.30578512</f>
        <v/>
      </c>
      <c r="S6" s="11" t="n">
        <v>376830</v>
      </c>
      <c r="T6" s="31" t="n">
        <v>6137473</v>
      </c>
      <c r="U6" s="40">
        <f>T6/S6</f>
        <v/>
      </c>
      <c r="V6" s="41">
        <f>U6*3.30578512</f>
        <v/>
      </c>
      <c r="W6" s="11" t="n">
        <v>293027</v>
      </c>
      <c r="X6" s="31" t="n">
        <v>4772590</v>
      </c>
      <c r="Y6" s="40">
        <f>X6/W6</f>
        <v/>
      </c>
      <c r="Z6" s="41">
        <f>Y6*3.30578512</f>
        <v/>
      </c>
      <c r="AA6" s="11" t="n">
        <v>364727</v>
      </c>
      <c r="AB6" s="31" t="n">
        <v>6242425</v>
      </c>
      <c r="AC6" s="40">
        <f>AB6/AA6</f>
        <v/>
      </c>
      <c r="AD6" s="41">
        <f>AC6*3.30578512</f>
        <v/>
      </c>
      <c r="AE6" s="11" t="n">
        <v>409659</v>
      </c>
      <c r="AF6" s="31" t="n">
        <v>6185950</v>
      </c>
      <c r="AG6" s="40">
        <f>AF6/AE6</f>
        <v/>
      </c>
      <c r="AH6" s="41">
        <f>AG6*3.30578512</f>
        <v/>
      </c>
      <c r="AI6" s="11" t="n">
        <v>259968</v>
      </c>
      <c r="AJ6" s="31" t="n">
        <v>4368510</v>
      </c>
      <c r="AK6" s="40">
        <f>AJ6/AI6</f>
        <v/>
      </c>
      <c r="AL6" s="41">
        <f>AK6*3.30578512</f>
        <v/>
      </c>
      <c r="AM6" s="11" t="n">
        <v>283028</v>
      </c>
      <c r="AN6" s="31" t="n">
        <v>4752291</v>
      </c>
      <c r="AO6" s="40">
        <f>AN6/AM6</f>
        <v/>
      </c>
      <c r="AP6" s="41">
        <f>AO6*3.30578512</f>
        <v/>
      </c>
      <c r="AQ6" s="11" t="n">
        <v>297073</v>
      </c>
      <c r="AR6" s="31" t="n">
        <v>5803999</v>
      </c>
      <c r="AS6" s="40">
        <f>AR6/AQ6</f>
        <v/>
      </c>
      <c r="AT6" s="41">
        <f>AS6*3.30578512</f>
        <v/>
      </c>
      <c r="AU6" s="11" t="n">
        <v>297961</v>
      </c>
      <c r="AV6" s="31" t="n">
        <v>6201695</v>
      </c>
      <c r="AW6" s="40">
        <f>AV6/AU6</f>
        <v/>
      </c>
      <c r="AX6" s="41">
        <f>AW6*3.30578512</f>
        <v/>
      </c>
      <c r="AY6" s="11" t="n">
        <v>336799</v>
      </c>
      <c r="AZ6" s="31" t="n">
        <v>7061378</v>
      </c>
      <c r="BA6" s="40">
        <f>AZ6/AY6</f>
        <v/>
      </c>
      <c r="BB6" s="41">
        <f>BA6*3.30578512</f>
        <v/>
      </c>
      <c r="BC6" s="11" t="n">
        <v>349495</v>
      </c>
      <c r="BD6" s="31" t="n">
        <v>6533442</v>
      </c>
      <c r="BE6" s="40">
        <f>BD6/BC6</f>
        <v/>
      </c>
      <c r="BF6" s="41">
        <f>BE6*3.30578512</f>
        <v/>
      </c>
      <c r="BG6" s="11" t="n">
        <v>299766</v>
      </c>
      <c r="BH6" s="31" t="n">
        <v>9026374</v>
      </c>
      <c r="BI6" s="40">
        <f>BH6/BG6</f>
        <v/>
      </c>
      <c r="BJ6" s="41">
        <f>BI6*3.30578512</f>
        <v/>
      </c>
      <c r="BK6" s="11" t="n">
        <v>265050</v>
      </c>
      <c r="BL6" s="31" t="n">
        <v>4385844</v>
      </c>
      <c r="BM6" s="40">
        <f>BL6/BK6</f>
        <v/>
      </c>
      <c r="BN6" s="41">
        <f>BM6*3.30578512</f>
        <v/>
      </c>
      <c r="BO6" s="11" t="n">
        <v>301640</v>
      </c>
      <c r="BP6" s="31" t="n">
        <v>5766701</v>
      </c>
      <c r="BQ6" s="40">
        <f>BP6/BO6</f>
        <v/>
      </c>
      <c r="BR6" s="41">
        <f>BQ6*3.30578512</f>
        <v/>
      </c>
      <c r="BS6" s="11" t="n">
        <v>273555</v>
      </c>
      <c r="BT6" s="31" t="n">
        <v>5429301</v>
      </c>
      <c r="BU6" s="40">
        <f>BT6/BS6</f>
        <v/>
      </c>
      <c r="BV6" s="41">
        <f>BU6*3.30578512</f>
        <v/>
      </c>
      <c r="BW6" s="11" t="n">
        <v>242463</v>
      </c>
      <c r="BX6" s="31" t="n">
        <v>5250744</v>
      </c>
      <c r="BY6" s="40">
        <f>BX6/BW6</f>
        <v/>
      </c>
      <c r="BZ6" s="41">
        <f>BY6*3.30578512</f>
        <v/>
      </c>
      <c r="CA6" s="11" t="n">
        <v>260084</v>
      </c>
      <c r="CB6" s="31" t="n">
        <v>4704308</v>
      </c>
      <c r="CC6" s="40">
        <f>CB6/CA6</f>
        <v/>
      </c>
      <c r="CD6" s="41">
        <f>CC6*3.30578512</f>
        <v/>
      </c>
      <c r="CE6" s="11" t="n">
        <v>293055</v>
      </c>
      <c r="CF6" s="31" t="n">
        <v>5122568</v>
      </c>
      <c r="CG6" s="40">
        <f>CF6/CE6</f>
        <v/>
      </c>
      <c r="CH6" s="41">
        <f>CG6*3.30578512</f>
        <v/>
      </c>
      <c r="CI6" s="11" t="n">
        <v>319914</v>
      </c>
      <c r="CJ6" s="31" t="n">
        <v>5949907</v>
      </c>
      <c r="CK6" s="40">
        <f>CJ6/CI6</f>
        <v/>
      </c>
      <c r="CL6" s="41">
        <f>CK6*3.30578512</f>
        <v/>
      </c>
      <c r="CM6" s="11" t="n">
        <v>373898</v>
      </c>
      <c r="CN6" s="31" t="n">
        <v>6937033</v>
      </c>
      <c r="CO6" s="40">
        <f>CN6/CM6</f>
        <v/>
      </c>
      <c r="CP6" s="41">
        <f>CO6*3.30578512</f>
        <v/>
      </c>
      <c r="CQ6" s="11" t="n">
        <v>259485</v>
      </c>
      <c r="CR6" s="31" t="n">
        <v>5528798</v>
      </c>
      <c r="CS6" s="40">
        <f>CR6/CQ6</f>
        <v/>
      </c>
      <c r="CT6" s="41">
        <f>CS6*3.30578512</f>
        <v/>
      </c>
      <c r="CU6" s="11" t="n">
        <v>271390</v>
      </c>
      <c r="CV6" s="31" t="n">
        <v>5482636</v>
      </c>
      <c r="CW6" s="40">
        <f>CV6/CU6</f>
        <v/>
      </c>
      <c r="CX6" s="41">
        <f>CW6*3.30578512</f>
        <v/>
      </c>
      <c r="CY6" s="11" t="n">
        <v>251489</v>
      </c>
      <c r="CZ6" s="31" t="n">
        <v>5666683</v>
      </c>
      <c r="DA6" s="40">
        <f>CZ6/CY6</f>
        <v/>
      </c>
      <c r="DB6" s="41">
        <f>DA6*3.30578512</f>
        <v/>
      </c>
      <c r="DC6" s="11" t="n">
        <v>183913</v>
      </c>
      <c r="DD6" s="31" t="n">
        <v>3718826</v>
      </c>
      <c r="DE6" s="40">
        <f>DD6/DC6</f>
        <v/>
      </c>
      <c r="DF6" s="41">
        <f>DE6*3.30578512</f>
        <v/>
      </c>
      <c r="DG6" s="11" t="n">
        <v>251143</v>
      </c>
      <c r="DH6" s="31" t="n">
        <v>5111682</v>
      </c>
      <c r="DI6" s="40">
        <f>DH6/DG6</f>
        <v/>
      </c>
      <c r="DJ6" s="41">
        <f>DI6*3.30578512</f>
        <v/>
      </c>
      <c r="DK6" s="11" t="n">
        <v>508490</v>
      </c>
      <c r="DL6" s="31" t="n">
        <v>14852741</v>
      </c>
      <c r="DM6" s="40">
        <f>DL6/DK6</f>
        <v/>
      </c>
      <c r="DN6" s="41">
        <f>DM6*3.30578512</f>
        <v/>
      </c>
      <c r="DO6" s="11" t="n">
        <v>254162</v>
      </c>
      <c r="DP6" s="31" t="n">
        <v>5601602</v>
      </c>
      <c r="DQ6" s="40">
        <f>DP6/DO6</f>
        <v/>
      </c>
      <c r="DR6" s="41">
        <f>DQ6*3.30578512</f>
        <v/>
      </c>
      <c r="DS6" s="11" t="n">
        <v>258448</v>
      </c>
      <c r="DT6" s="31" t="n">
        <v>5469074</v>
      </c>
      <c r="DU6" s="40">
        <f>DT6/DS6</f>
        <v/>
      </c>
      <c r="DV6" s="41">
        <f>DU6*3.30578512</f>
        <v/>
      </c>
      <c r="DW6" s="11" t="n">
        <v>305800</v>
      </c>
      <c r="DX6" s="31" t="n">
        <v>5297357</v>
      </c>
      <c r="DY6" s="40">
        <f>DX6/DW6</f>
        <v/>
      </c>
      <c r="DZ6" s="41">
        <f>DY6*3.30578512</f>
        <v/>
      </c>
      <c r="EA6" s="11" t="n">
        <v>331828</v>
      </c>
      <c r="EB6" s="31" t="n">
        <v>7277925</v>
      </c>
      <c r="EC6" s="40">
        <f>EB6/EA6</f>
        <v/>
      </c>
      <c r="ED6" s="41">
        <f>EC6*3.30578512</f>
        <v/>
      </c>
      <c r="EE6" s="11" t="n">
        <v>251692</v>
      </c>
      <c r="EF6" s="31" t="n">
        <v>5649538</v>
      </c>
      <c r="EG6" s="40">
        <f>EF6/EE6</f>
        <v/>
      </c>
      <c r="EH6" s="41">
        <f>EG6*3.30578512</f>
        <v/>
      </c>
      <c r="EI6" s="11" t="n">
        <v>210277</v>
      </c>
      <c r="EJ6" s="31" t="n">
        <v>5070897</v>
      </c>
      <c r="EK6" s="40">
        <f>EJ6/EI6</f>
        <v/>
      </c>
      <c r="EL6" s="41">
        <f>EK6*3.30578512</f>
        <v/>
      </c>
      <c r="EM6" s="11" t="n">
        <v>232139</v>
      </c>
      <c r="EN6" s="31" t="n">
        <v>5033326</v>
      </c>
      <c r="EO6" s="40">
        <f>EN6/EM6</f>
        <v/>
      </c>
      <c r="EP6" s="41">
        <f>EO6*3.30578512</f>
        <v/>
      </c>
      <c r="EQ6" s="11" t="n">
        <v>288301</v>
      </c>
      <c r="ER6" s="31" t="n">
        <v>5920779</v>
      </c>
      <c r="ES6" s="40">
        <f>ER6/EQ6</f>
        <v/>
      </c>
      <c r="ET6" s="41">
        <f>ES6*3.30578512</f>
        <v/>
      </c>
      <c r="EU6" s="11" t="n">
        <v>268000</v>
      </c>
      <c r="EV6" s="31" t="n">
        <v>7319344.12228</v>
      </c>
      <c r="EW6" s="40">
        <f>EV6/EU6</f>
        <v/>
      </c>
      <c r="EX6" s="41">
        <f>EW6*3.30578512</f>
        <v/>
      </c>
      <c r="EY6" s="11" t="n">
        <v>182826</v>
      </c>
      <c r="EZ6" s="31" t="n">
        <v>4543917.76333</v>
      </c>
      <c r="FA6" s="40">
        <f>EZ6/EY6</f>
        <v/>
      </c>
      <c r="FB6" s="41">
        <f>FA6*3.30578512</f>
        <v/>
      </c>
      <c r="FC6" s="11" t="n">
        <v>315483</v>
      </c>
      <c r="FD6" s="31" t="n">
        <v>10934837.75184</v>
      </c>
      <c r="FE6" s="40">
        <f>FD6/FC6</f>
        <v/>
      </c>
      <c r="FF6" s="41">
        <f>FE6*3.30578512</f>
        <v/>
      </c>
      <c r="FG6" s="11" t="n">
        <v>360430</v>
      </c>
      <c r="FH6" s="31" t="n">
        <v>12264372.42963</v>
      </c>
      <c r="FI6" s="40">
        <f>FH6/FG6</f>
        <v/>
      </c>
      <c r="FJ6" s="41">
        <f>FI6*3.30578512</f>
        <v/>
      </c>
      <c r="FK6" s="11" t="n">
        <v>351659</v>
      </c>
      <c r="FL6" s="31" t="n">
        <v>7324507.68982</v>
      </c>
      <c r="FM6" s="40">
        <f>FL6/FK6</f>
        <v/>
      </c>
      <c r="FN6" s="41">
        <f>FM6*3.30578512</f>
        <v/>
      </c>
      <c r="FO6" s="11" t="n"/>
      <c r="FP6" s="31" t="n"/>
      <c r="FQ6" s="40">
        <f>FP6/FO6</f>
        <v/>
      </c>
      <c r="FR6" s="41">
        <f>FQ6*3.30578512</f>
        <v/>
      </c>
      <c r="FS6" s="11" t="n"/>
      <c r="FT6" s="31" t="n"/>
      <c r="FU6" s="40">
        <f>FT6/FS6</f>
        <v/>
      </c>
      <c r="FV6" s="41">
        <f>FU6*3.30578512</f>
        <v/>
      </c>
      <c r="FW6" s="11" t="n"/>
      <c r="FX6" s="31" t="n"/>
      <c r="FY6" s="40">
        <f>FX6/FW6</f>
        <v/>
      </c>
      <c r="FZ6" s="41">
        <f>FY6*3.30578512</f>
        <v/>
      </c>
    </row>
    <row r="7">
      <c r="B7" s="2" t="inlineStr">
        <is>
          <t>工場及び作業場</t>
        </is>
      </c>
      <c r="C7" s="11" t="n">
        <v>8378701</v>
      </c>
      <c r="D7" s="31" t="n">
        <v>151709668</v>
      </c>
      <c r="E7" s="40">
        <f>D7/C7</f>
        <v/>
      </c>
      <c r="F7" s="41">
        <f>E7*3.30578512</f>
        <v/>
      </c>
      <c r="G7" s="11" t="n">
        <v>461179</v>
      </c>
      <c r="H7" s="31" t="n">
        <v>11699628</v>
      </c>
      <c r="I7" s="40">
        <f>H7/G7</f>
        <v/>
      </c>
      <c r="J7" s="41">
        <f>I7*3.30578512</f>
        <v/>
      </c>
      <c r="K7" s="11" t="n">
        <v>576152</v>
      </c>
      <c r="L7" s="31" t="n">
        <v>14477709</v>
      </c>
      <c r="M7" s="40">
        <f>L7/K7</f>
        <v/>
      </c>
      <c r="N7" s="41">
        <f>M7*3.30578512</f>
        <v/>
      </c>
      <c r="O7" s="11" t="n">
        <v>634383</v>
      </c>
      <c r="P7" s="31" t="n">
        <v>13578836</v>
      </c>
      <c r="Q7" s="40">
        <f>P7/O7</f>
        <v/>
      </c>
      <c r="R7" s="41">
        <f>Q7*3.30578512</f>
        <v/>
      </c>
      <c r="S7" s="11" t="n">
        <v>929291</v>
      </c>
      <c r="T7" s="31" t="n">
        <v>25142992</v>
      </c>
      <c r="U7" s="40">
        <f>T7/S7</f>
        <v/>
      </c>
      <c r="V7" s="41">
        <f>U7*3.30578512</f>
        <v/>
      </c>
      <c r="W7" s="11" t="n">
        <v>624765</v>
      </c>
      <c r="X7" s="31" t="n">
        <v>12090194</v>
      </c>
      <c r="Y7" s="40">
        <f>X7/W7</f>
        <v/>
      </c>
      <c r="Z7" s="41">
        <f>Y7*3.30578512</f>
        <v/>
      </c>
      <c r="AA7" s="11" t="n">
        <v>896466</v>
      </c>
      <c r="AB7" s="31" t="n">
        <v>21601128</v>
      </c>
      <c r="AC7" s="40">
        <f>AB7/AA7</f>
        <v/>
      </c>
      <c r="AD7" s="41">
        <f>AC7*3.30578512</f>
        <v/>
      </c>
      <c r="AE7" s="11" t="n">
        <v>674375</v>
      </c>
      <c r="AF7" s="31" t="n">
        <v>12666144</v>
      </c>
      <c r="AG7" s="40">
        <f>AF7/AE7</f>
        <v/>
      </c>
      <c r="AH7" s="41">
        <f>AG7*3.30578512</f>
        <v/>
      </c>
      <c r="AI7" s="11" t="n">
        <v>693613</v>
      </c>
      <c r="AJ7" s="31" t="n">
        <v>18737249</v>
      </c>
      <c r="AK7" s="40">
        <f>AJ7/AI7</f>
        <v/>
      </c>
      <c r="AL7" s="41">
        <f>AK7*3.30578512</f>
        <v/>
      </c>
      <c r="AM7" s="11" t="n">
        <v>543075</v>
      </c>
      <c r="AN7" s="31" t="n">
        <v>15759087</v>
      </c>
      <c r="AO7" s="40">
        <f>AN7/AM7</f>
        <v/>
      </c>
      <c r="AP7" s="41">
        <f>AO7*3.30578512</f>
        <v/>
      </c>
      <c r="AQ7" s="11" t="n">
        <v>705775</v>
      </c>
      <c r="AR7" s="31" t="n">
        <v>19656272</v>
      </c>
      <c r="AS7" s="40">
        <f>AR7/AQ7</f>
        <v/>
      </c>
      <c r="AT7" s="41">
        <f>AS7*3.30578512</f>
        <v/>
      </c>
      <c r="AU7" s="11" t="n">
        <v>575926</v>
      </c>
      <c r="AV7" s="31" t="n">
        <v>14206123</v>
      </c>
      <c r="AW7" s="40">
        <f>AV7/AU7</f>
        <v/>
      </c>
      <c r="AX7" s="41">
        <f>AW7*3.30578512</f>
        <v/>
      </c>
      <c r="AY7" s="11" t="n">
        <v>663086</v>
      </c>
      <c r="AZ7" s="31" t="n">
        <v>18570676</v>
      </c>
      <c r="BA7" s="40">
        <f>AZ7/AY7</f>
        <v/>
      </c>
      <c r="BB7" s="41">
        <f>BA7*3.30578512</f>
        <v/>
      </c>
      <c r="BC7" s="11" t="n">
        <v>518150</v>
      </c>
      <c r="BD7" s="31" t="n">
        <v>13016740</v>
      </c>
      <c r="BE7" s="40">
        <f>BD7/BC7</f>
        <v/>
      </c>
      <c r="BF7" s="41">
        <f>BE7*3.30578512</f>
        <v/>
      </c>
      <c r="BG7" s="11" t="n">
        <v>538992</v>
      </c>
      <c r="BH7" s="31" t="n">
        <v>13018503</v>
      </c>
      <c r="BI7" s="40">
        <f>BH7/BG7</f>
        <v/>
      </c>
      <c r="BJ7" s="41">
        <f>BI7*3.30578512</f>
        <v/>
      </c>
      <c r="BK7" s="11" t="n">
        <v>531918</v>
      </c>
      <c r="BL7" s="31" t="n">
        <v>15139970</v>
      </c>
      <c r="BM7" s="40">
        <f>BL7/BK7</f>
        <v/>
      </c>
      <c r="BN7" s="41">
        <f>BM7*3.30578512</f>
        <v/>
      </c>
      <c r="BO7" s="11" t="n">
        <v>869886</v>
      </c>
      <c r="BP7" s="31" t="n">
        <v>25825737</v>
      </c>
      <c r="BQ7" s="40">
        <f>BP7/BO7</f>
        <v/>
      </c>
      <c r="BR7" s="41">
        <f>BQ7*3.30578512</f>
        <v/>
      </c>
      <c r="BS7" s="11" t="n">
        <v>435893</v>
      </c>
      <c r="BT7" s="31" t="n">
        <v>11764341</v>
      </c>
      <c r="BU7" s="40">
        <f>BT7/BS7</f>
        <v/>
      </c>
      <c r="BV7" s="41">
        <f>BU7*3.30578512</f>
        <v/>
      </c>
      <c r="BW7" s="11" t="n">
        <v>527697</v>
      </c>
      <c r="BX7" s="31" t="n">
        <v>18187780</v>
      </c>
      <c r="BY7" s="40">
        <f>BX7/BW7</f>
        <v/>
      </c>
      <c r="BZ7" s="41">
        <f>BY7*3.30578512</f>
        <v/>
      </c>
      <c r="CA7" s="11" t="n">
        <v>509297</v>
      </c>
      <c r="CB7" s="31" t="n">
        <v>15393273</v>
      </c>
      <c r="CC7" s="40">
        <f>CB7/CA7</f>
        <v/>
      </c>
      <c r="CD7" s="41">
        <f>CC7*3.30578512</f>
        <v/>
      </c>
      <c r="CE7" s="11" t="n">
        <v>361341</v>
      </c>
      <c r="CF7" s="31" t="n">
        <v>9577597</v>
      </c>
      <c r="CG7" s="40">
        <f>CF7/CE7</f>
        <v/>
      </c>
      <c r="CH7" s="41">
        <f>CG7*3.30578512</f>
        <v/>
      </c>
      <c r="CI7" s="11" t="n">
        <v>769521</v>
      </c>
      <c r="CJ7" s="31" t="n">
        <v>36413143</v>
      </c>
      <c r="CK7" s="40">
        <f>CJ7/CI7</f>
        <v/>
      </c>
      <c r="CL7" s="41">
        <f>CK7*3.30578512</f>
        <v/>
      </c>
      <c r="CM7" s="11" t="n">
        <v>522592</v>
      </c>
      <c r="CN7" s="31" t="n">
        <v>20713834</v>
      </c>
      <c r="CO7" s="40">
        <f>CN7/CM7</f>
        <v/>
      </c>
      <c r="CP7" s="41">
        <f>CO7*3.30578512</f>
        <v/>
      </c>
      <c r="CQ7" s="11" t="n">
        <v>629812</v>
      </c>
      <c r="CR7" s="31" t="n">
        <v>24095807</v>
      </c>
      <c r="CS7" s="40">
        <f>CR7/CQ7</f>
        <v/>
      </c>
      <c r="CT7" s="41">
        <f>CS7*3.30578512</f>
        <v/>
      </c>
      <c r="CU7" s="11" t="n">
        <v>530454</v>
      </c>
      <c r="CV7" s="31" t="n">
        <v>15670166</v>
      </c>
      <c r="CW7" s="40">
        <f>CV7/CU7</f>
        <v/>
      </c>
      <c r="CX7" s="41">
        <f>CW7*3.30578512</f>
        <v/>
      </c>
      <c r="CY7" s="11" t="n">
        <v>704081</v>
      </c>
      <c r="CZ7" s="31" t="n">
        <v>25256331</v>
      </c>
      <c r="DA7" s="40">
        <f>CZ7/CY7</f>
        <v/>
      </c>
      <c r="DB7" s="41">
        <f>DA7*3.30578512</f>
        <v/>
      </c>
      <c r="DC7" s="11" t="n">
        <v>521230</v>
      </c>
      <c r="DD7" s="31" t="n">
        <v>15818107</v>
      </c>
      <c r="DE7" s="40">
        <f>DD7/DC7</f>
        <v/>
      </c>
      <c r="DF7" s="41">
        <f>DE7*3.30578512</f>
        <v/>
      </c>
      <c r="DG7" s="11" t="n">
        <v>539736</v>
      </c>
      <c r="DH7" s="31" t="n">
        <v>20160905</v>
      </c>
      <c r="DI7" s="40">
        <f>DH7/DG7</f>
        <v/>
      </c>
      <c r="DJ7" s="41">
        <f>DI7*3.30578512</f>
        <v/>
      </c>
      <c r="DK7" s="11" t="n">
        <v>765476</v>
      </c>
      <c r="DL7" s="31" t="n">
        <v>27470352</v>
      </c>
      <c r="DM7" s="40">
        <f>DL7/DK7</f>
        <v/>
      </c>
      <c r="DN7" s="41">
        <f>DM7*3.30578512</f>
        <v/>
      </c>
      <c r="DO7" s="11" t="n">
        <v>461489</v>
      </c>
      <c r="DP7" s="31" t="n">
        <v>15973688</v>
      </c>
      <c r="DQ7" s="40">
        <f>DP7/DO7</f>
        <v/>
      </c>
      <c r="DR7" s="41">
        <f>DQ7*3.30578512</f>
        <v/>
      </c>
      <c r="DS7" s="11" t="n">
        <v>541315</v>
      </c>
      <c r="DT7" s="31" t="n">
        <v>16496767</v>
      </c>
      <c r="DU7" s="40">
        <f>DT7/DS7</f>
        <v/>
      </c>
      <c r="DV7" s="41">
        <f>DU7*3.30578512</f>
        <v/>
      </c>
      <c r="DW7" s="11" t="n">
        <v>515771</v>
      </c>
      <c r="DX7" s="31" t="n">
        <v>15552540</v>
      </c>
      <c r="DY7" s="40">
        <f>DX7/DW7</f>
        <v/>
      </c>
      <c r="DZ7" s="41">
        <f>DY7*3.30578512</f>
        <v/>
      </c>
      <c r="EA7" s="11" t="n">
        <v>664134</v>
      </c>
      <c r="EB7" s="31" t="n">
        <v>28924634</v>
      </c>
      <c r="EC7" s="40">
        <f>EB7/EA7</f>
        <v/>
      </c>
      <c r="ED7" s="41">
        <f>EC7*3.30578512</f>
        <v/>
      </c>
      <c r="EE7" s="11" t="n">
        <v>588359</v>
      </c>
      <c r="EF7" s="31" t="n">
        <v>19307098</v>
      </c>
      <c r="EG7" s="40">
        <f>EF7/EE7</f>
        <v/>
      </c>
      <c r="EH7" s="41">
        <f>EG7*3.30578512</f>
        <v/>
      </c>
      <c r="EI7" s="11" t="n">
        <v>584507</v>
      </c>
      <c r="EJ7" s="31" t="n">
        <v>24734102</v>
      </c>
      <c r="EK7" s="40">
        <f>EJ7/EI7</f>
        <v/>
      </c>
      <c r="EL7" s="41">
        <f>EK7*3.30578512</f>
        <v/>
      </c>
      <c r="EM7" s="11" t="n">
        <v>458530</v>
      </c>
      <c r="EN7" s="31" t="n">
        <v>13199930</v>
      </c>
      <c r="EO7" s="40">
        <f>EN7/EM7</f>
        <v/>
      </c>
      <c r="EP7" s="41">
        <f>EO7*3.30578512</f>
        <v/>
      </c>
      <c r="EQ7" s="11" t="n">
        <v>498123</v>
      </c>
      <c r="ER7" s="31" t="n">
        <v>16397926</v>
      </c>
      <c r="ES7" s="40">
        <f>ER7/EQ7</f>
        <v/>
      </c>
      <c r="ET7" s="41">
        <f>ES7*3.30578512</f>
        <v/>
      </c>
      <c r="EU7" s="11" t="n">
        <v>361898</v>
      </c>
      <c r="EV7" s="31" t="n">
        <v>14097828.59613</v>
      </c>
      <c r="EW7" s="40">
        <f>EV7/EU7</f>
        <v/>
      </c>
      <c r="EX7" s="41">
        <f>EW7*3.30578512</f>
        <v/>
      </c>
      <c r="EY7" s="11" t="n">
        <v>448540</v>
      </c>
      <c r="EZ7" s="31" t="n">
        <v>20530172.24364</v>
      </c>
      <c r="FA7" s="40">
        <f>EZ7/EY7</f>
        <v/>
      </c>
      <c r="FB7" s="41">
        <f>FA7*3.30578512</f>
        <v/>
      </c>
      <c r="FC7" s="11" t="n">
        <v>407575</v>
      </c>
      <c r="FD7" s="31" t="n">
        <v>14030443.00471</v>
      </c>
      <c r="FE7" s="40">
        <f>FD7/FC7</f>
        <v/>
      </c>
      <c r="FF7" s="41">
        <f>FE7*3.30578512</f>
        <v/>
      </c>
      <c r="FG7" s="11" t="n">
        <v>619321</v>
      </c>
      <c r="FH7" s="31" t="n">
        <v>21840277.45798</v>
      </c>
      <c r="FI7" s="40">
        <f>FH7/FG7</f>
        <v/>
      </c>
      <c r="FJ7" s="41">
        <f>FI7*3.30578512</f>
        <v/>
      </c>
      <c r="FK7" s="11" t="n">
        <v>595452</v>
      </c>
      <c r="FL7" s="31" t="n">
        <v>26572300.91447</v>
      </c>
      <c r="FM7" s="40">
        <f>FL7/FK7</f>
        <v/>
      </c>
      <c r="FN7" s="41">
        <f>FM7*3.30578512</f>
        <v/>
      </c>
      <c r="FO7" s="11" t="n"/>
      <c r="FP7" s="31" t="n"/>
      <c r="FQ7" s="40">
        <f>FP7/FO7</f>
        <v/>
      </c>
      <c r="FR7" s="41">
        <f>FQ7*3.30578512</f>
        <v/>
      </c>
      <c r="FS7" s="11" t="n"/>
      <c r="FT7" s="31" t="n"/>
      <c r="FU7" s="40">
        <f>FT7/FS7</f>
        <v/>
      </c>
      <c r="FV7" s="41">
        <f>FU7*3.30578512</f>
        <v/>
      </c>
      <c r="FW7" s="11" t="n"/>
      <c r="FX7" s="31" t="n"/>
      <c r="FY7" s="40">
        <f>FX7/FW7</f>
        <v/>
      </c>
      <c r="FZ7" s="41">
        <f>FY7*3.30578512</f>
        <v/>
      </c>
    </row>
    <row r="8">
      <c r="B8" s="2" t="inlineStr">
        <is>
          <t>倉庫</t>
        </is>
      </c>
      <c r="C8" s="11" t="n">
        <v>6068912</v>
      </c>
      <c r="D8" s="31" t="n">
        <v>71338916</v>
      </c>
      <c r="E8" s="40">
        <f>D8/C8</f>
        <v/>
      </c>
      <c r="F8" s="41">
        <f>E8*3.30578512</f>
        <v/>
      </c>
      <c r="G8" s="11" t="n">
        <v>835125</v>
      </c>
      <c r="H8" s="31" t="n">
        <v>10518520</v>
      </c>
      <c r="I8" s="40">
        <f>H8/G8</f>
        <v/>
      </c>
      <c r="J8" s="41">
        <f>I8*3.30578512</f>
        <v/>
      </c>
      <c r="K8" s="11" t="n">
        <v>775039</v>
      </c>
      <c r="L8" s="31" t="n">
        <v>10489793</v>
      </c>
      <c r="M8" s="40">
        <f>L8/K8</f>
        <v/>
      </c>
      <c r="N8" s="41">
        <f>M8*3.30578512</f>
        <v/>
      </c>
      <c r="O8" s="11" t="n">
        <v>912194</v>
      </c>
      <c r="P8" s="31" t="n">
        <v>11744726</v>
      </c>
      <c r="Q8" s="40">
        <f>P8/O8</f>
        <v/>
      </c>
      <c r="R8" s="41">
        <f>Q8*3.30578512</f>
        <v/>
      </c>
      <c r="S8" s="11" t="n">
        <v>881069</v>
      </c>
      <c r="T8" s="31" t="n">
        <v>11962789</v>
      </c>
      <c r="U8" s="40">
        <f>T8/S8</f>
        <v/>
      </c>
      <c r="V8" s="41">
        <f>U8*3.30578512</f>
        <v/>
      </c>
      <c r="W8" s="11" t="n">
        <v>852317</v>
      </c>
      <c r="X8" s="31" t="n">
        <v>11001456</v>
      </c>
      <c r="Y8" s="40">
        <f>X8/W8</f>
        <v/>
      </c>
      <c r="Z8" s="41">
        <f>Y8*3.30578512</f>
        <v/>
      </c>
      <c r="AA8" s="11" t="n">
        <v>963165</v>
      </c>
      <c r="AB8" s="31" t="n">
        <v>13762764</v>
      </c>
      <c r="AC8" s="40">
        <f>AB8/AA8</f>
        <v/>
      </c>
      <c r="AD8" s="41">
        <f>AC8*3.30578512</f>
        <v/>
      </c>
      <c r="AE8" s="11" t="n">
        <v>931010</v>
      </c>
      <c r="AF8" s="31" t="n">
        <v>14396013</v>
      </c>
      <c r="AG8" s="40">
        <f>AF8/AE8</f>
        <v/>
      </c>
      <c r="AH8" s="41">
        <f>AG8*3.30578512</f>
        <v/>
      </c>
      <c r="AI8" s="11" t="n">
        <v>660707</v>
      </c>
      <c r="AJ8" s="31" t="n">
        <v>9569279</v>
      </c>
      <c r="AK8" s="40">
        <f>AJ8/AI8</f>
        <v/>
      </c>
      <c r="AL8" s="41">
        <f>AK8*3.30578512</f>
        <v/>
      </c>
      <c r="AM8" s="11" t="n">
        <v>572632</v>
      </c>
      <c r="AN8" s="31" t="n">
        <v>8144155</v>
      </c>
      <c r="AO8" s="40">
        <f>AN8/AM8</f>
        <v/>
      </c>
      <c r="AP8" s="41">
        <f>AO8*3.30578512</f>
        <v/>
      </c>
      <c r="AQ8" s="11" t="n">
        <v>462154</v>
      </c>
      <c r="AR8" s="31" t="n">
        <v>7709515</v>
      </c>
      <c r="AS8" s="40">
        <f>AR8/AQ8</f>
        <v/>
      </c>
      <c r="AT8" s="41">
        <f>AS8*3.30578512</f>
        <v/>
      </c>
      <c r="AU8" s="11" t="n">
        <v>600119</v>
      </c>
      <c r="AV8" s="31" t="n">
        <v>8565731</v>
      </c>
      <c r="AW8" s="40">
        <f>AV8/AU8</f>
        <v/>
      </c>
      <c r="AX8" s="41">
        <f>AW8*3.30578512</f>
        <v/>
      </c>
      <c r="AY8" s="11" t="n">
        <v>672464</v>
      </c>
      <c r="AZ8" s="31" t="n">
        <v>9951811</v>
      </c>
      <c r="BA8" s="40">
        <f>AZ8/AY8</f>
        <v/>
      </c>
      <c r="BB8" s="41">
        <f>BA8*3.30578512</f>
        <v/>
      </c>
      <c r="BC8" s="11" t="n">
        <v>674938</v>
      </c>
      <c r="BD8" s="31" t="n">
        <v>10530530</v>
      </c>
      <c r="BE8" s="40">
        <f>BD8/BC8</f>
        <v/>
      </c>
      <c r="BF8" s="41">
        <f>BE8*3.30578512</f>
        <v/>
      </c>
      <c r="BG8" s="11" t="n">
        <v>900471</v>
      </c>
      <c r="BH8" s="31" t="n">
        <v>12993465</v>
      </c>
      <c r="BI8" s="40">
        <f>BH8/BG8</f>
        <v/>
      </c>
      <c r="BJ8" s="41">
        <f>BI8*3.30578512</f>
        <v/>
      </c>
      <c r="BK8" s="11" t="n">
        <v>346787</v>
      </c>
      <c r="BL8" s="31" t="n">
        <v>5546101</v>
      </c>
      <c r="BM8" s="40">
        <f>BL8/BK8</f>
        <v/>
      </c>
      <c r="BN8" s="41">
        <f>BM8*3.30578512</f>
        <v/>
      </c>
      <c r="BO8" s="11" t="n">
        <v>1025089</v>
      </c>
      <c r="BP8" s="31" t="n">
        <v>14773342</v>
      </c>
      <c r="BQ8" s="40">
        <f>BP8/BO8</f>
        <v/>
      </c>
      <c r="BR8" s="41">
        <f>BQ8*3.30578512</f>
        <v/>
      </c>
      <c r="BS8" s="11" t="n">
        <v>564527</v>
      </c>
      <c r="BT8" s="31" t="n">
        <v>8541089</v>
      </c>
      <c r="BU8" s="40">
        <f>BT8/BS8</f>
        <v/>
      </c>
      <c r="BV8" s="41">
        <f>BU8*3.30578512</f>
        <v/>
      </c>
      <c r="BW8" s="11" t="n">
        <v>498046</v>
      </c>
      <c r="BX8" s="31" t="n">
        <v>8652166</v>
      </c>
      <c r="BY8" s="40">
        <f>BX8/BW8</f>
        <v/>
      </c>
      <c r="BZ8" s="41">
        <f>BY8*3.30578512</f>
        <v/>
      </c>
      <c r="CA8" s="11" t="n">
        <v>489596</v>
      </c>
      <c r="CB8" s="31" t="n">
        <v>7565679</v>
      </c>
      <c r="CC8" s="40">
        <f>CB8/CA8</f>
        <v/>
      </c>
      <c r="CD8" s="41">
        <f>CC8*3.30578512</f>
        <v/>
      </c>
      <c r="CE8" s="11" t="n">
        <v>674749</v>
      </c>
      <c r="CF8" s="31" t="n">
        <v>11295329</v>
      </c>
      <c r="CG8" s="40">
        <f>CF8/CE8</f>
        <v/>
      </c>
      <c r="CH8" s="41">
        <f>CG8*3.30578512</f>
        <v/>
      </c>
      <c r="CI8" s="11" t="n">
        <v>566910</v>
      </c>
      <c r="CJ8" s="31" t="n">
        <v>10583923</v>
      </c>
      <c r="CK8" s="40">
        <f>CJ8/CI8</f>
        <v/>
      </c>
      <c r="CL8" s="41">
        <f>CK8*3.30578512</f>
        <v/>
      </c>
      <c r="CM8" s="11" t="n">
        <v>813132</v>
      </c>
      <c r="CN8" s="31" t="n">
        <v>17541418</v>
      </c>
      <c r="CO8" s="40">
        <f>CN8/CM8</f>
        <v/>
      </c>
      <c r="CP8" s="41">
        <f>CO8*3.30578512</f>
        <v/>
      </c>
      <c r="CQ8" s="11" t="n">
        <v>431285</v>
      </c>
      <c r="CR8" s="31" t="n">
        <v>7939075</v>
      </c>
      <c r="CS8" s="40">
        <f>CR8/CQ8</f>
        <v/>
      </c>
      <c r="CT8" s="41">
        <f>CS8*3.30578512</f>
        <v/>
      </c>
      <c r="CU8" s="11" t="n">
        <v>547167</v>
      </c>
      <c r="CV8" s="31" t="n">
        <v>8335203</v>
      </c>
      <c r="CW8" s="40">
        <f>CV8/CU8</f>
        <v/>
      </c>
      <c r="CX8" s="41">
        <f>CW8*3.30578512</f>
        <v/>
      </c>
      <c r="CY8" s="11" t="n">
        <v>471248</v>
      </c>
      <c r="CZ8" s="31" t="n">
        <v>7460266</v>
      </c>
      <c r="DA8" s="40">
        <f>CZ8/CY8</f>
        <v/>
      </c>
      <c r="DB8" s="41">
        <f>DA8*3.30578512</f>
        <v/>
      </c>
      <c r="DC8" s="11" t="n">
        <v>769671</v>
      </c>
      <c r="DD8" s="31" t="n">
        <v>12584915</v>
      </c>
      <c r="DE8" s="40">
        <f>DD8/DC8</f>
        <v/>
      </c>
      <c r="DF8" s="41">
        <f>DE8*3.30578512</f>
        <v/>
      </c>
      <c r="DG8" s="11" t="n">
        <v>535000</v>
      </c>
      <c r="DH8" s="31" t="n">
        <v>9907385</v>
      </c>
      <c r="DI8" s="40">
        <f>DH8/DG8</f>
        <v/>
      </c>
      <c r="DJ8" s="41">
        <f>DI8*3.30578512</f>
        <v/>
      </c>
      <c r="DK8" s="11" t="n">
        <v>633476</v>
      </c>
      <c r="DL8" s="31" t="n">
        <v>11687494</v>
      </c>
      <c r="DM8" s="40">
        <f>DL8/DK8</f>
        <v/>
      </c>
      <c r="DN8" s="41">
        <f>DM8*3.30578512</f>
        <v/>
      </c>
      <c r="DO8" s="11" t="n">
        <v>534316</v>
      </c>
      <c r="DP8" s="31" t="n">
        <v>8145786</v>
      </c>
      <c r="DQ8" s="40">
        <f>DP8/DO8</f>
        <v/>
      </c>
      <c r="DR8" s="41">
        <f>DQ8*3.30578512</f>
        <v/>
      </c>
      <c r="DS8" s="11" t="n">
        <v>824075</v>
      </c>
      <c r="DT8" s="31" t="n">
        <v>13859993</v>
      </c>
      <c r="DU8" s="40">
        <f>DT8/DS8</f>
        <v/>
      </c>
      <c r="DV8" s="41">
        <f>DU8*3.30578512</f>
        <v/>
      </c>
      <c r="DW8" s="11" t="n">
        <v>533993</v>
      </c>
      <c r="DX8" s="31" t="n">
        <v>9059516</v>
      </c>
      <c r="DY8" s="40">
        <f>DX8/DW8</f>
        <v/>
      </c>
      <c r="DZ8" s="41">
        <f>DY8*3.30578512</f>
        <v/>
      </c>
      <c r="EA8" s="11" t="n">
        <v>422016</v>
      </c>
      <c r="EB8" s="31" t="n">
        <v>10597770</v>
      </c>
      <c r="EC8" s="40">
        <f>EB8/EA8</f>
        <v/>
      </c>
      <c r="ED8" s="41">
        <f>EC8*3.30578512</f>
        <v/>
      </c>
      <c r="EE8" s="11" t="n">
        <v>918818</v>
      </c>
      <c r="EF8" s="31" t="n">
        <v>16429638</v>
      </c>
      <c r="EG8" s="40">
        <f>EF8/EE8</f>
        <v/>
      </c>
      <c r="EH8" s="41">
        <f>EG8*3.30578512</f>
        <v/>
      </c>
      <c r="EI8" s="11" t="n">
        <v>672820</v>
      </c>
      <c r="EJ8" s="31" t="n">
        <v>10715865</v>
      </c>
      <c r="EK8" s="40">
        <f>EJ8/EI8</f>
        <v/>
      </c>
      <c r="EL8" s="41">
        <f>EK8*3.30578512</f>
        <v/>
      </c>
      <c r="EM8" s="11" t="n">
        <v>859998</v>
      </c>
      <c r="EN8" s="31" t="n">
        <v>17432970</v>
      </c>
      <c r="EO8" s="40">
        <f>EN8/EM8</f>
        <v/>
      </c>
      <c r="EP8" s="41">
        <f>EO8*3.30578512</f>
        <v/>
      </c>
      <c r="EQ8" s="11" t="n">
        <v>685091</v>
      </c>
      <c r="ER8" s="31" t="n">
        <v>12932026</v>
      </c>
      <c r="ES8" s="40">
        <f>ER8/EQ8</f>
        <v/>
      </c>
      <c r="ET8" s="41">
        <f>ES8*3.30578512</f>
        <v/>
      </c>
      <c r="EU8" s="11" t="n">
        <v>637391</v>
      </c>
      <c r="EV8" s="31" t="n">
        <v>14475454.82282</v>
      </c>
      <c r="EW8" s="40">
        <f>EV8/EU8</f>
        <v/>
      </c>
      <c r="EX8" s="41">
        <f>EW8*3.30578512</f>
        <v/>
      </c>
      <c r="EY8" s="11" t="n">
        <v>846196</v>
      </c>
      <c r="EZ8" s="31" t="n">
        <v>17147340.94061</v>
      </c>
      <c r="FA8" s="40">
        <f>EZ8/EY8</f>
        <v/>
      </c>
      <c r="FB8" s="41">
        <f>FA8*3.30578512</f>
        <v/>
      </c>
      <c r="FC8" s="11" t="n">
        <v>450890</v>
      </c>
      <c r="FD8" s="31" t="n">
        <v>8036493.10548</v>
      </c>
      <c r="FE8" s="40">
        <f>FD8/FC8</f>
        <v/>
      </c>
      <c r="FF8" s="41">
        <f>FE8*3.30578512</f>
        <v/>
      </c>
      <c r="FG8" s="11" t="n">
        <v>462406</v>
      </c>
      <c r="FH8" s="31" t="n">
        <v>9510154.606899999</v>
      </c>
      <c r="FI8" s="40">
        <f>FH8/FG8</f>
        <v/>
      </c>
      <c r="FJ8" s="41">
        <f>FI8*3.30578512</f>
        <v/>
      </c>
      <c r="FK8" s="11" t="n">
        <v>655850</v>
      </c>
      <c r="FL8" s="31" t="n">
        <v>14292665.62327</v>
      </c>
      <c r="FM8" s="40">
        <f>FL8/FK8</f>
        <v/>
      </c>
      <c r="FN8" s="41">
        <f>FM8*3.30578512</f>
        <v/>
      </c>
      <c r="FO8" s="11" t="n"/>
      <c r="FP8" s="31" t="n"/>
      <c r="FQ8" s="40">
        <f>FP8/FO8</f>
        <v/>
      </c>
      <c r="FR8" s="41">
        <f>FQ8*3.30578512</f>
        <v/>
      </c>
      <c r="FS8" s="11" t="n"/>
      <c r="FT8" s="31" t="n"/>
      <c r="FU8" s="40">
        <f>FT8/FS8</f>
        <v/>
      </c>
      <c r="FV8" s="41">
        <f>FU8*3.30578512</f>
        <v/>
      </c>
      <c r="FW8" s="11" t="n"/>
      <c r="FX8" s="31" t="n"/>
      <c r="FY8" s="40">
        <f>FX8/FW8</f>
        <v/>
      </c>
      <c r="FZ8" s="41">
        <f>FY8*3.30578512</f>
        <v/>
      </c>
    </row>
    <row r="9">
      <c r="B9" s="2" t="inlineStr">
        <is>
          <t>学校の校舎</t>
        </is>
      </c>
      <c r="C9" s="11" t="n">
        <v>1386294</v>
      </c>
      <c r="D9" s="31" t="n">
        <v>32660664</v>
      </c>
      <c r="E9" s="40">
        <f>D9/C9</f>
        <v/>
      </c>
      <c r="F9" s="41">
        <f>E9*3.30578512</f>
        <v/>
      </c>
      <c r="G9" s="11" t="n">
        <v>41707</v>
      </c>
      <c r="H9" s="31" t="n">
        <v>1257098</v>
      </c>
      <c r="I9" s="40">
        <f>H9/G9</f>
        <v/>
      </c>
      <c r="J9" s="41">
        <f>I9*3.30578512</f>
        <v/>
      </c>
      <c r="K9" s="11" t="n">
        <v>46099</v>
      </c>
      <c r="L9" s="31" t="n">
        <v>817146</v>
      </c>
      <c r="M9" s="40">
        <f>L9/K9</f>
        <v/>
      </c>
      <c r="N9" s="41">
        <f>M9*3.30578512</f>
        <v/>
      </c>
      <c r="O9" s="11" t="n">
        <v>28892</v>
      </c>
      <c r="P9" s="31" t="n">
        <v>615910</v>
      </c>
      <c r="Q9" s="40">
        <f>P9/O9</f>
        <v/>
      </c>
      <c r="R9" s="41">
        <f>Q9*3.30578512</f>
        <v/>
      </c>
      <c r="S9" s="11" t="n">
        <v>55420</v>
      </c>
      <c r="T9" s="31" t="n">
        <v>1672270</v>
      </c>
      <c r="U9" s="40">
        <f>T9/S9</f>
        <v/>
      </c>
      <c r="V9" s="41">
        <f>U9*3.30578512</f>
        <v/>
      </c>
      <c r="W9" s="11" t="n">
        <v>101064</v>
      </c>
      <c r="X9" s="31" t="n">
        <v>3428795</v>
      </c>
      <c r="Y9" s="40">
        <f>X9/W9</f>
        <v/>
      </c>
      <c r="Z9" s="41">
        <f>Y9*3.30578512</f>
        <v/>
      </c>
      <c r="AA9" s="11" t="n">
        <v>159002</v>
      </c>
      <c r="AB9" s="31" t="n">
        <v>4075445</v>
      </c>
      <c r="AC9" s="40">
        <f>AB9/AA9</f>
        <v/>
      </c>
      <c r="AD9" s="41">
        <f>AC9*3.30578512</f>
        <v/>
      </c>
      <c r="AE9" s="11" t="n">
        <v>104728</v>
      </c>
      <c r="AF9" s="31" t="n">
        <v>2873377</v>
      </c>
      <c r="AG9" s="40">
        <f>AF9/AE9</f>
        <v/>
      </c>
      <c r="AH9" s="41">
        <f>AG9*3.30578512</f>
        <v/>
      </c>
      <c r="AI9" s="11" t="n">
        <v>144121</v>
      </c>
      <c r="AJ9" s="31" t="n">
        <v>5453098</v>
      </c>
      <c r="AK9" s="40">
        <f>AJ9/AI9</f>
        <v/>
      </c>
      <c r="AL9" s="41">
        <f>AK9*3.30578512</f>
        <v/>
      </c>
      <c r="AM9" s="11" t="n">
        <v>72391</v>
      </c>
      <c r="AN9" s="31" t="n">
        <v>1663524</v>
      </c>
      <c r="AO9" s="40">
        <f>AN9/AM9</f>
        <v/>
      </c>
      <c r="AP9" s="41">
        <f>AO9*3.30578512</f>
        <v/>
      </c>
      <c r="AQ9" s="11" t="n">
        <v>109123</v>
      </c>
      <c r="AR9" s="31" t="n">
        <v>2766055</v>
      </c>
      <c r="AS9" s="40">
        <f>AR9/AQ9</f>
        <v/>
      </c>
      <c r="AT9" s="41">
        <f>AS9*3.30578512</f>
        <v/>
      </c>
      <c r="AU9" s="11" t="n">
        <v>202225</v>
      </c>
      <c r="AV9" s="31" t="n">
        <v>6923977</v>
      </c>
      <c r="AW9" s="40">
        <f>AV9/AU9</f>
        <v/>
      </c>
      <c r="AX9" s="41">
        <f>AW9*3.30578512</f>
        <v/>
      </c>
      <c r="AY9" s="11" t="n">
        <v>43313</v>
      </c>
      <c r="AZ9" s="31" t="n">
        <v>1096098</v>
      </c>
      <c r="BA9" s="40">
        <f>AZ9/AY9</f>
        <v/>
      </c>
      <c r="BB9" s="41">
        <f>BA9*3.30578512</f>
        <v/>
      </c>
      <c r="BC9" s="11" t="n">
        <v>39246</v>
      </c>
      <c r="BD9" s="31" t="n">
        <v>944029</v>
      </c>
      <c r="BE9" s="40">
        <f>BD9/BC9</f>
        <v/>
      </c>
      <c r="BF9" s="41">
        <f>BE9*3.30578512</f>
        <v/>
      </c>
      <c r="BG9" s="11" t="n">
        <v>59265</v>
      </c>
      <c r="BH9" s="31" t="n">
        <v>1946253</v>
      </c>
      <c r="BI9" s="40">
        <f>BH9/BG9</f>
        <v/>
      </c>
      <c r="BJ9" s="41">
        <f>BI9*3.30578512</f>
        <v/>
      </c>
      <c r="BK9" s="11" t="n">
        <v>63893</v>
      </c>
      <c r="BL9" s="31" t="n">
        <v>1200093</v>
      </c>
      <c r="BM9" s="40">
        <f>BL9/BK9</f>
        <v/>
      </c>
      <c r="BN9" s="41">
        <f>BM9*3.30578512</f>
        <v/>
      </c>
      <c r="BO9" s="11" t="n">
        <v>113460</v>
      </c>
      <c r="BP9" s="31" t="n">
        <v>2994431</v>
      </c>
      <c r="BQ9" s="40">
        <f>BP9/BO9</f>
        <v/>
      </c>
      <c r="BR9" s="41">
        <f>BQ9*3.30578512</f>
        <v/>
      </c>
      <c r="BS9" s="11" t="n">
        <v>59127</v>
      </c>
      <c r="BT9" s="31" t="n">
        <v>1557736</v>
      </c>
      <c r="BU9" s="40">
        <f>BT9/BS9</f>
        <v/>
      </c>
      <c r="BV9" s="41">
        <f>BU9*3.30578512</f>
        <v/>
      </c>
      <c r="BW9" s="11" t="n">
        <v>74781</v>
      </c>
      <c r="BX9" s="31" t="n">
        <v>2690113</v>
      </c>
      <c r="BY9" s="40">
        <f>BX9/BW9</f>
        <v/>
      </c>
      <c r="BZ9" s="41">
        <f>BY9*3.30578512</f>
        <v/>
      </c>
      <c r="CA9" s="11" t="n">
        <v>95736</v>
      </c>
      <c r="CB9" s="31" t="n">
        <v>5035463</v>
      </c>
      <c r="CC9" s="40">
        <f>CB9/CA9</f>
        <v/>
      </c>
      <c r="CD9" s="41">
        <f>CC9*3.30578512</f>
        <v/>
      </c>
      <c r="CE9" s="11" t="n">
        <v>42496</v>
      </c>
      <c r="CF9" s="31" t="n">
        <v>1340424</v>
      </c>
      <c r="CG9" s="40">
        <f>CF9/CE9</f>
        <v/>
      </c>
      <c r="CH9" s="41">
        <f>CG9*3.30578512</f>
        <v/>
      </c>
      <c r="CI9" s="11" t="n">
        <v>66248</v>
      </c>
      <c r="CJ9" s="31" t="n">
        <v>1746260</v>
      </c>
      <c r="CK9" s="40">
        <f>CJ9/CI9</f>
        <v/>
      </c>
      <c r="CL9" s="41">
        <f>CK9*3.30578512</f>
        <v/>
      </c>
      <c r="CM9" s="11" t="n">
        <v>93038</v>
      </c>
      <c r="CN9" s="31" t="n">
        <v>2863704</v>
      </c>
      <c r="CO9" s="40">
        <f>CN9/CM9</f>
        <v/>
      </c>
      <c r="CP9" s="41">
        <f>CO9*3.30578512</f>
        <v/>
      </c>
      <c r="CQ9" s="11" t="n">
        <v>84806</v>
      </c>
      <c r="CR9" s="31" t="n">
        <v>3555254</v>
      </c>
      <c r="CS9" s="40">
        <f>CR9/CQ9</f>
        <v/>
      </c>
      <c r="CT9" s="41">
        <f>CS9*3.30578512</f>
        <v/>
      </c>
      <c r="CU9" s="11" t="n">
        <v>27220</v>
      </c>
      <c r="CV9" s="31" t="n">
        <v>791133</v>
      </c>
      <c r="CW9" s="40">
        <f>CV9/CU9</f>
        <v/>
      </c>
      <c r="CX9" s="41">
        <f>CW9*3.30578512</f>
        <v/>
      </c>
      <c r="CY9" s="11" t="n">
        <v>67724</v>
      </c>
      <c r="CZ9" s="31" t="n">
        <v>2787558</v>
      </c>
      <c r="DA9" s="40">
        <f>CZ9/CY9</f>
        <v/>
      </c>
      <c r="DB9" s="41">
        <f>DA9*3.30578512</f>
        <v/>
      </c>
      <c r="DC9" s="11" t="n">
        <v>79088</v>
      </c>
      <c r="DD9" s="31" t="n">
        <v>2635389</v>
      </c>
      <c r="DE9" s="40">
        <f>DD9/DC9</f>
        <v/>
      </c>
      <c r="DF9" s="41">
        <f>DE9*3.30578512</f>
        <v/>
      </c>
      <c r="DG9" s="11" t="n">
        <v>59923</v>
      </c>
      <c r="DH9" s="31" t="n">
        <v>1746024</v>
      </c>
      <c r="DI9" s="40">
        <f>DH9/DG9</f>
        <v/>
      </c>
      <c r="DJ9" s="41">
        <f>DI9*3.30578512</f>
        <v/>
      </c>
      <c r="DK9" s="11" t="n">
        <v>96462</v>
      </c>
      <c r="DL9" s="31" t="n">
        <v>3082989</v>
      </c>
      <c r="DM9" s="40">
        <f>DL9/DK9</f>
        <v/>
      </c>
      <c r="DN9" s="41">
        <f>DM9*3.30578512</f>
        <v/>
      </c>
      <c r="DO9" s="11" t="n">
        <v>41794</v>
      </c>
      <c r="DP9" s="31" t="n">
        <v>1429051</v>
      </c>
      <c r="DQ9" s="40">
        <f>DP9/DO9</f>
        <v/>
      </c>
      <c r="DR9" s="41">
        <f>DQ9*3.30578512</f>
        <v/>
      </c>
      <c r="DS9" s="11" t="n">
        <v>60645</v>
      </c>
      <c r="DT9" s="31" t="n">
        <v>1714198</v>
      </c>
      <c r="DU9" s="40">
        <f>DT9/DS9</f>
        <v/>
      </c>
      <c r="DV9" s="41">
        <f>DU9*3.30578512</f>
        <v/>
      </c>
      <c r="DW9" s="11" t="n">
        <v>76047</v>
      </c>
      <c r="DX9" s="31" t="n">
        <v>3006457</v>
      </c>
      <c r="DY9" s="40">
        <f>DX9/DW9</f>
        <v/>
      </c>
      <c r="DZ9" s="41">
        <f>DY9*3.30578512</f>
        <v/>
      </c>
      <c r="EA9" s="11" t="n">
        <v>38811</v>
      </c>
      <c r="EB9" s="31" t="n">
        <v>1172992</v>
      </c>
      <c r="EC9" s="40">
        <f>EB9/EA9</f>
        <v/>
      </c>
      <c r="ED9" s="41">
        <f>EC9*3.30578512</f>
        <v/>
      </c>
      <c r="EE9" s="11" t="n">
        <v>97907</v>
      </c>
      <c r="EF9" s="31" t="n">
        <v>3537671</v>
      </c>
      <c r="EG9" s="40">
        <f>EF9/EE9</f>
        <v/>
      </c>
      <c r="EH9" s="41">
        <f>EG9*3.30578512</f>
        <v/>
      </c>
      <c r="EI9" s="11" t="n">
        <v>127139</v>
      </c>
      <c r="EJ9" s="31" t="n">
        <v>6918704</v>
      </c>
      <c r="EK9" s="40">
        <f>EJ9/EI9</f>
        <v/>
      </c>
      <c r="EL9" s="41">
        <f>EK9*3.30578512</f>
        <v/>
      </c>
      <c r="EM9" s="11" t="n">
        <v>64270</v>
      </c>
      <c r="EN9" s="31" t="n">
        <v>1724033</v>
      </c>
      <c r="EO9" s="40">
        <f>EN9/EM9</f>
        <v/>
      </c>
      <c r="EP9" s="41">
        <f>EO9*3.30578512</f>
        <v/>
      </c>
      <c r="EQ9" s="11" t="n">
        <v>97785</v>
      </c>
      <c r="ER9" s="31" t="n">
        <v>2305605</v>
      </c>
      <c r="ES9" s="40">
        <f>ER9/EQ9</f>
        <v/>
      </c>
      <c r="ET9" s="41">
        <f>ES9*3.30578512</f>
        <v/>
      </c>
      <c r="EU9" s="11" t="n">
        <v>54215</v>
      </c>
      <c r="EV9" s="31" t="n">
        <v>2414176.81682</v>
      </c>
      <c r="EW9" s="40">
        <f>EV9/EU9</f>
        <v/>
      </c>
      <c r="EX9" s="41">
        <f>EW9*3.30578512</f>
        <v/>
      </c>
      <c r="EY9" s="11" t="n">
        <v>59521</v>
      </c>
      <c r="EZ9" s="31" t="n">
        <v>2046943.41553</v>
      </c>
      <c r="FA9" s="40">
        <f>EZ9/EY9</f>
        <v/>
      </c>
      <c r="FB9" s="41">
        <f>FA9*3.30578512</f>
        <v/>
      </c>
      <c r="FC9" s="11" t="n">
        <v>90752</v>
      </c>
      <c r="FD9" s="31" t="n">
        <v>3601431.78766</v>
      </c>
      <c r="FE9" s="40">
        <f>FD9/FC9</f>
        <v/>
      </c>
      <c r="FF9" s="41">
        <f>FE9*3.30578512</f>
        <v/>
      </c>
      <c r="FG9" s="11" t="n">
        <v>85456</v>
      </c>
      <c r="FH9" s="31" t="n">
        <v>2622310.28367</v>
      </c>
      <c r="FI9" s="40">
        <f>FH9/FG9</f>
        <v/>
      </c>
      <c r="FJ9" s="41">
        <f>FI9*3.30578512</f>
        <v/>
      </c>
      <c r="FK9" s="11" t="n">
        <v>58555</v>
      </c>
      <c r="FL9" s="31" t="n">
        <v>1998331.4924</v>
      </c>
      <c r="FM9" s="40">
        <f>FL9/FK9</f>
        <v/>
      </c>
      <c r="FN9" s="41">
        <f>FM9*3.30578512</f>
        <v/>
      </c>
      <c r="FO9" s="11" t="n"/>
      <c r="FP9" s="31" t="n"/>
      <c r="FQ9" s="40">
        <f>FP9/FO9</f>
        <v/>
      </c>
      <c r="FR9" s="41">
        <f>FQ9*3.30578512</f>
        <v/>
      </c>
      <c r="FS9" s="11" t="n"/>
      <c r="FT9" s="31" t="n"/>
      <c r="FU9" s="40">
        <f>FT9/FS9</f>
        <v/>
      </c>
      <c r="FV9" s="41">
        <f>FU9*3.30578512</f>
        <v/>
      </c>
      <c r="FW9" s="11" t="n"/>
      <c r="FX9" s="31" t="n"/>
      <c r="FY9" s="40">
        <f>FX9/FW9</f>
        <v/>
      </c>
      <c r="FZ9" s="41">
        <f>FY9*3.30578512</f>
        <v/>
      </c>
    </row>
    <row r="10">
      <c r="B10" s="2" t="inlineStr">
        <is>
          <t>病院・診療所</t>
        </is>
      </c>
      <c r="C10" s="11" t="n">
        <v>1106860</v>
      </c>
      <c r="D10" s="31" t="n">
        <v>32198273</v>
      </c>
      <c r="E10" s="40">
        <f>D10/C10</f>
        <v/>
      </c>
      <c r="F10" s="41">
        <f>E10*3.30578512</f>
        <v/>
      </c>
      <c r="G10" s="11" t="n">
        <v>57385</v>
      </c>
      <c r="H10" s="31" t="n">
        <v>1755028</v>
      </c>
      <c r="I10" s="40">
        <f>H10/G10</f>
        <v/>
      </c>
      <c r="J10" s="41">
        <f>I10*3.30578512</f>
        <v/>
      </c>
      <c r="K10" s="11" t="n">
        <v>43562</v>
      </c>
      <c r="L10" s="31" t="n">
        <v>1402723</v>
      </c>
      <c r="M10" s="40">
        <f>L10/K10</f>
        <v/>
      </c>
      <c r="N10" s="41">
        <f>M10*3.30578512</f>
        <v/>
      </c>
      <c r="O10" s="11" t="n">
        <v>82304</v>
      </c>
      <c r="P10" s="31" t="n">
        <v>2924934</v>
      </c>
      <c r="Q10" s="40">
        <f>P10/O10</f>
        <v/>
      </c>
      <c r="R10" s="41">
        <f>Q10*3.30578512</f>
        <v/>
      </c>
      <c r="S10" s="11" t="n">
        <v>96019</v>
      </c>
      <c r="T10" s="31" t="n">
        <v>3707881</v>
      </c>
      <c r="U10" s="40">
        <f>T10/S10</f>
        <v/>
      </c>
      <c r="V10" s="41">
        <f>U10*3.30578512</f>
        <v/>
      </c>
      <c r="W10" s="11" t="n">
        <v>43189</v>
      </c>
      <c r="X10" s="31" t="n">
        <v>1435762</v>
      </c>
      <c r="Y10" s="40">
        <f>X10/W10</f>
        <v/>
      </c>
      <c r="Z10" s="41">
        <f>Y10*3.30578512</f>
        <v/>
      </c>
      <c r="AA10" s="11" t="n">
        <v>28557</v>
      </c>
      <c r="AB10" s="31" t="n">
        <v>1059931</v>
      </c>
      <c r="AC10" s="40">
        <f>AB10/AA10</f>
        <v/>
      </c>
      <c r="AD10" s="41">
        <f>AC10*3.30578512</f>
        <v/>
      </c>
      <c r="AE10" s="11" t="n">
        <v>56783</v>
      </c>
      <c r="AF10" s="31" t="n">
        <v>2046138</v>
      </c>
      <c r="AG10" s="40">
        <f>AF10/AE10</f>
        <v/>
      </c>
      <c r="AH10" s="41">
        <f>AG10*3.30578512</f>
        <v/>
      </c>
      <c r="AI10" s="11" t="n">
        <v>72247</v>
      </c>
      <c r="AJ10" s="31" t="n">
        <v>3036285</v>
      </c>
      <c r="AK10" s="40">
        <f>AJ10/AI10</f>
        <v/>
      </c>
      <c r="AL10" s="41">
        <f>AK10*3.30578512</f>
        <v/>
      </c>
      <c r="AM10" s="11" t="n">
        <v>50968</v>
      </c>
      <c r="AN10" s="31" t="n">
        <v>1703512</v>
      </c>
      <c r="AO10" s="40">
        <f>AN10/AM10</f>
        <v/>
      </c>
      <c r="AP10" s="41">
        <f>AO10*3.30578512</f>
        <v/>
      </c>
      <c r="AQ10" s="11" t="n">
        <v>132415</v>
      </c>
      <c r="AR10" s="31" t="n">
        <v>4726199</v>
      </c>
      <c r="AS10" s="40">
        <f>AR10/AQ10</f>
        <v/>
      </c>
      <c r="AT10" s="41">
        <f>AS10*3.30578512</f>
        <v/>
      </c>
      <c r="AU10" s="11" t="n">
        <v>58545</v>
      </c>
      <c r="AV10" s="31" t="n">
        <v>2537034</v>
      </c>
      <c r="AW10" s="40">
        <f>AV10/AU10</f>
        <v/>
      </c>
      <c r="AX10" s="41">
        <f>AW10*3.30578512</f>
        <v/>
      </c>
      <c r="AY10" s="11" t="n">
        <v>58359</v>
      </c>
      <c r="AZ10" s="31" t="n">
        <v>1995069</v>
      </c>
      <c r="BA10" s="40">
        <f>AZ10/AY10</f>
        <v/>
      </c>
      <c r="BB10" s="41">
        <f>BA10*3.30578512</f>
        <v/>
      </c>
      <c r="BC10" s="11" t="n">
        <v>72190</v>
      </c>
      <c r="BD10" s="31" t="n">
        <v>2761493</v>
      </c>
      <c r="BE10" s="40">
        <f>BD10/BC10</f>
        <v/>
      </c>
      <c r="BF10" s="41">
        <f>BE10*3.30578512</f>
        <v/>
      </c>
      <c r="BG10" s="11" t="n">
        <v>163710</v>
      </c>
      <c r="BH10" s="31" t="n">
        <v>7492181</v>
      </c>
      <c r="BI10" s="40">
        <f>BH10/BG10</f>
        <v/>
      </c>
      <c r="BJ10" s="41">
        <f>BI10*3.30578512</f>
        <v/>
      </c>
      <c r="BK10" s="11" t="n">
        <v>29840</v>
      </c>
      <c r="BL10" s="31" t="n">
        <v>1086113</v>
      </c>
      <c r="BM10" s="40">
        <f>BL10/BK10</f>
        <v/>
      </c>
      <c r="BN10" s="41">
        <f>BM10*3.30578512</f>
        <v/>
      </c>
      <c r="BO10" s="11" t="n">
        <v>35438</v>
      </c>
      <c r="BP10" s="31" t="n">
        <v>1486760</v>
      </c>
      <c r="BQ10" s="40">
        <f>BP10/BO10</f>
        <v/>
      </c>
      <c r="BR10" s="41">
        <f>BQ10*3.30578512</f>
        <v/>
      </c>
      <c r="BS10" s="11" t="n">
        <v>77116</v>
      </c>
      <c r="BT10" s="31" t="n">
        <v>3958952</v>
      </c>
      <c r="BU10" s="40">
        <f>BT10/BS10</f>
        <v/>
      </c>
      <c r="BV10" s="41">
        <f>BU10*3.30578512</f>
        <v/>
      </c>
      <c r="BW10" s="11" t="n">
        <v>46232</v>
      </c>
      <c r="BX10" s="31" t="n">
        <v>1816366</v>
      </c>
      <c r="BY10" s="40">
        <f>BX10/BW10</f>
        <v/>
      </c>
      <c r="BZ10" s="41">
        <f>BY10*3.30578512</f>
        <v/>
      </c>
      <c r="CA10" s="11" t="n">
        <v>28963</v>
      </c>
      <c r="CB10" s="31" t="n">
        <v>1084974</v>
      </c>
      <c r="CC10" s="40">
        <f>CB10/CA10</f>
        <v/>
      </c>
      <c r="CD10" s="41">
        <f>CC10*3.30578512</f>
        <v/>
      </c>
      <c r="CE10" s="11" t="n">
        <v>60497</v>
      </c>
      <c r="CF10" s="31" t="n">
        <v>3091654</v>
      </c>
      <c r="CG10" s="40">
        <f>CF10/CE10</f>
        <v/>
      </c>
      <c r="CH10" s="41">
        <f>CG10*3.30578512</f>
        <v/>
      </c>
      <c r="CI10" s="11" t="n">
        <v>26281</v>
      </c>
      <c r="CJ10" s="31" t="n">
        <v>1308569</v>
      </c>
      <c r="CK10" s="40">
        <f>CJ10/CI10</f>
        <v/>
      </c>
      <c r="CL10" s="41">
        <f>CK10*3.30578512</f>
        <v/>
      </c>
      <c r="CM10" s="11" t="n">
        <v>45229</v>
      </c>
      <c r="CN10" s="31" t="n">
        <v>2018809</v>
      </c>
      <c r="CO10" s="40">
        <f>CN10/CM10</f>
        <v/>
      </c>
      <c r="CP10" s="41">
        <f>CO10*3.30578512</f>
        <v/>
      </c>
      <c r="CQ10" s="11" t="n">
        <v>31937</v>
      </c>
      <c r="CR10" s="31" t="n">
        <v>1354894</v>
      </c>
      <c r="CS10" s="40">
        <f>CR10/CQ10</f>
        <v/>
      </c>
      <c r="CT10" s="41">
        <f>CS10*3.30578512</f>
        <v/>
      </c>
      <c r="CU10" s="11" t="n">
        <v>21575</v>
      </c>
      <c r="CV10" s="31" t="n">
        <v>771966</v>
      </c>
      <c r="CW10" s="40">
        <f>CV10/CU10</f>
        <v/>
      </c>
      <c r="CX10" s="41">
        <f>CW10*3.30578512</f>
        <v/>
      </c>
      <c r="CY10" s="11" t="n">
        <v>18213</v>
      </c>
      <c r="CZ10" s="31" t="n">
        <v>718820</v>
      </c>
      <c r="DA10" s="40">
        <f>CZ10/CY10</f>
        <v/>
      </c>
      <c r="DB10" s="41">
        <f>DA10*3.30578512</f>
        <v/>
      </c>
      <c r="DC10" s="11" t="n">
        <v>61783</v>
      </c>
      <c r="DD10" s="31" t="n">
        <v>2591161</v>
      </c>
      <c r="DE10" s="40">
        <f>DD10/DC10</f>
        <v/>
      </c>
      <c r="DF10" s="41">
        <f>DE10*3.30578512</f>
        <v/>
      </c>
      <c r="DG10" s="11" t="n">
        <v>75208</v>
      </c>
      <c r="DH10" s="31" t="n">
        <v>3674094</v>
      </c>
      <c r="DI10" s="40">
        <f>DH10/DG10</f>
        <v/>
      </c>
      <c r="DJ10" s="41">
        <f>DI10*3.30578512</f>
        <v/>
      </c>
      <c r="DK10" s="11" t="n">
        <v>39809</v>
      </c>
      <c r="DL10" s="31" t="n">
        <v>1533622</v>
      </c>
      <c r="DM10" s="40">
        <f>DL10/DK10</f>
        <v/>
      </c>
      <c r="DN10" s="41">
        <f>DM10*3.30578512</f>
        <v/>
      </c>
      <c r="DO10" s="11" t="n">
        <v>56450</v>
      </c>
      <c r="DP10" s="31" t="n">
        <v>3493040</v>
      </c>
      <c r="DQ10" s="40">
        <f>DP10/DO10</f>
        <v/>
      </c>
      <c r="DR10" s="41">
        <f>DQ10*3.30578512</f>
        <v/>
      </c>
      <c r="DS10" s="11" t="n">
        <v>30018</v>
      </c>
      <c r="DT10" s="31" t="n">
        <v>1239589</v>
      </c>
      <c r="DU10" s="40">
        <f>DT10/DS10</f>
        <v/>
      </c>
      <c r="DV10" s="41">
        <f>DU10*3.30578512</f>
        <v/>
      </c>
      <c r="DW10" s="11" t="n">
        <v>21802</v>
      </c>
      <c r="DX10" s="31" t="n">
        <v>739533</v>
      </c>
      <c r="DY10" s="40">
        <f>DX10/DW10</f>
        <v/>
      </c>
      <c r="DZ10" s="41">
        <f>DY10*3.30578512</f>
        <v/>
      </c>
      <c r="EA10" s="11" t="n">
        <v>17463</v>
      </c>
      <c r="EB10" s="31" t="n">
        <v>662700</v>
      </c>
      <c r="EC10" s="40">
        <f>EB10/EA10</f>
        <v/>
      </c>
      <c r="ED10" s="41">
        <f>EC10*3.30578512</f>
        <v/>
      </c>
      <c r="EE10" s="11" t="n">
        <v>50757</v>
      </c>
      <c r="EF10" s="31" t="n">
        <v>2939783</v>
      </c>
      <c r="EG10" s="40">
        <f>EF10/EE10</f>
        <v/>
      </c>
      <c r="EH10" s="41">
        <f>EG10*3.30578512</f>
        <v/>
      </c>
      <c r="EI10" s="11" t="n">
        <v>15878</v>
      </c>
      <c r="EJ10" s="31" t="n">
        <v>569335</v>
      </c>
      <c r="EK10" s="40">
        <f>EJ10/EI10</f>
        <v/>
      </c>
      <c r="EL10" s="41">
        <f>EK10*3.30578512</f>
        <v/>
      </c>
      <c r="EM10" s="11" t="n">
        <v>85131</v>
      </c>
      <c r="EN10" s="31" t="n">
        <v>5736312</v>
      </c>
      <c r="EO10" s="40">
        <f>EN10/EM10</f>
        <v/>
      </c>
      <c r="EP10" s="41">
        <f>EO10*3.30578512</f>
        <v/>
      </c>
      <c r="EQ10" s="11" t="n">
        <v>18176</v>
      </c>
      <c r="ER10" s="31" t="n">
        <v>663243</v>
      </c>
      <c r="ES10" s="40">
        <f>ER10/EQ10</f>
        <v/>
      </c>
      <c r="ET10" s="41">
        <f>ES10*3.30578512</f>
        <v/>
      </c>
      <c r="EU10" s="11" t="n">
        <v>17345</v>
      </c>
      <c r="EV10" s="31" t="n">
        <v>624753.37736</v>
      </c>
      <c r="EW10" s="40">
        <f>EV10/EU10</f>
        <v/>
      </c>
      <c r="EX10" s="41">
        <f>EW10*3.30578512</f>
        <v/>
      </c>
      <c r="EY10" s="11" t="n">
        <v>59787</v>
      </c>
      <c r="EZ10" s="31" t="n">
        <v>3657944.04847</v>
      </c>
      <c r="FA10" s="40">
        <f>EZ10/EY10</f>
        <v/>
      </c>
      <c r="FB10" s="41">
        <f>FA10*3.30578512</f>
        <v/>
      </c>
      <c r="FC10" s="11" t="n">
        <v>81632</v>
      </c>
      <c r="FD10" s="31" t="n">
        <v>5121355.70173</v>
      </c>
      <c r="FE10" s="40">
        <f>FD10/FC10</f>
        <v/>
      </c>
      <c r="FF10" s="41">
        <f>FE10*3.30578512</f>
        <v/>
      </c>
      <c r="FG10" s="11" t="n">
        <v>89374</v>
      </c>
      <c r="FH10" s="31" t="n">
        <v>4527145.63205</v>
      </c>
      <c r="FI10" s="40">
        <f>FH10/FG10</f>
        <v/>
      </c>
      <c r="FJ10" s="41">
        <f>FI10*3.30578512</f>
        <v/>
      </c>
      <c r="FK10" s="11" t="n">
        <v>39756</v>
      </c>
      <c r="FL10" s="31" t="n">
        <v>2022945.23121</v>
      </c>
      <c r="FM10" s="40">
        <f>FL10/FK10</f>
        <v/>
      </c>
      <c r="FN10" s="41">
        <f>FM10*3.30578512</f>
        <v/>
      </c>
      <c r="FO10" s="11" t="n"/>
      <c r="FP10" s="31" t="n"/>
      <c r="FQ10" s="40">
        <f>FP10/FO10</f>
        <v/>
      </c>
      <c r="FR10" s="41">
        <f>FQ10*3.30578512</f>
        <v/>
      </c>
      <c r="FS10" s="11" t="n"/>
      <c r="FT10" s="31" t="n"/>
      <c r="FU10" s="40">
        <f>FT10/FS10</f>
        <v/>
      </c>
      <c r="FV10" s="41">
        <f>FU10*3.30578512</f>
        <v/>
      </c>
      <c r="FW10" s="11" t="n"/>
      <c r="FX10" s="31" t="n"/>
      <c r="FY10" s="40">
        <f>FX10/FW10</f>
        <v/>
      </c>
      <c r="FZ10" s="41">
        <f>FY10*3.30578512</f>
        <v/>
      </c>
    </row>
    <row r="11" ht="18.6" customHeight="1" thickBot="1">
      <c r="B11" s="2" t="inlineStr">
        <is>
          <t>その他</t>
        </is>
      </c>
      <c r="C11" s="15" t="n">
        <v>8608567</v>
      </c>
      <c r="D11" s="16" t="n">
        <v>167466039</v>
      </c>
      <c r="E11" s="42">
        <f>D11/C11</f>
        <v/>
      </c>
      <c r="F11" s="43">
        <f>E11*3.30578512</f>
        <v/>
      </c>
      <c r="G11" s="15" t="n">
        <v>468787</v>
      </c>
      <c r="H11" s="16" t="n">
        <v>11628801</v>
      </c>
      <c r="I11" s="42">
        <f>H11/G11</f>
        <v/>
      </c>
      <c r="J11" s="43">
        <f>I11*3.30578512</f>
        <v/>
      </c>
      <c r="K11" s="15" t="n">
        <v>554269</v>
      </c>
      <c r="L11" s="16" t="n">
        <v>13303890</v>
      </c>
      <c r="M11" s="42">
        <f>L11/K11</f>
        <v/>
      </c>
      <c r="N11" s="43">
        <f>M11*3.30578512</f>
        <v/>
      </c>
      <c r="O11" s="15" t="n">
        <v>475415</v>
      </c>
      <c r="P11" s="16" t="n">
        <v>11484248</v>
      </c>
      <c r="Q11" s="42">
        <f>P11/O11</f>
        <v/>
      </c>
      <c r="R11" s="43">
        <f>Q11*3.30578512</f>
        <v/>
      </c>
      <c r="S11" s="15" t="n">
        <v>543839</v>
      </c>
      <c r="T11" s="16" t="n">
        <v>13801597</v>
      </c>
      <c r="U11" s="42">
        <f>T11/S11</f>
        <v/>
      </c>
      <c r="V11" s="43">
        <f>U11*3.30578512</f>
        <v/>
      </c>
      <c r="W11" s="15" t="n">
        <v>444209</v>
      </c>
      <c r="X11" s="16" t="n">
        <v>14214159</v>
      </c>
      <c r="Y11" s="42">
        <f>X11/W11</f>
        <v/>
      </c>
      <c r="Z11" s="43">
        <f>Y11*3.30578512</f>
        <v/>
      </c>
      <c r="AA11" s="15" t="n">
        <v>525185</v>
      </c>
      <c r="AB11" s="16" t="n">
        <v>12856987</v>
      </c>
      <c r="AC11" s="42">
        <f>AB11/AA11</f>
        <v/>
      </c>
      <c r="AD11" s="43">
        <f>AC11*3.30578512</f>
        <v/>
      </c>
      <c r="AE11" s="15" t="n">
        <v>784656</v>
      </c>
      <c r="AF11" s="16" t="n">
        <v>23232064</v>
      </c>
      <c r="AG11" s="42">
        <f>AF11/AE11</f>
        <v/>
      </c>
      <c r="AH11" s="43">
        <f>AG11*3.30578512</f>
        <v/>
      </c>
      <c r="AI11" s="15" t="n">
        <v>516754</v>
      </c>
      <c r="AJ11" s="16" t="n">
        <v>14356047</v>
      </c>
      <c r="AK11" s="42">
        <f>AJ11/AI11</f>
        <v/>
      </c>
      <c r="AL11" s="43">
        <f>AK11*3.30578512</f>
        <v/>
      </c>
      <c r="AM11" s="15" t="n">
        <v>483962</v>
      </c>
      <c r="AN11" s="16" t="n">
        <v>13861034</v>
      </c>
      <c r="AO11" s="42">
        <f>AN11/AM11</f>
        <v/>
      </c>
      <c r="AP11" s="43">
        <f>AO11*3.30578512</f>
        <v/>
      </c>
      <c r="AQ11" s="15" t="n">
        <v>517179</v>
      </c>
      <c r="AR11" s="16" t="n">
        <v>13067907</v>
      </c>
      <c r="AS11" s="42">
        <f>AR11/AQ11</f>
        <v/>
      </c>
      <c r="AT11" s="43">
        <f>AS11*3.30578512</f>
        <v/>
      </c>
      <c r="AU11" s="15" t="n">
        <v>493168</v>
      </c>
      <c r="AV11" s="16" t="n">
        <v>12400631</v>
      </c>
      <c r="AW11" s="42">
        <f>AV11/AU11</f>
        <v/>
      </c>
      <c r="AX11" s="43">
        <f>AW11*3.30578512</f>
        <v/>
      </c>
      <c r="AY11" s="15" t="n">
        <v>452254</v>
      </c>
      <c r="AZ11" s="16" t="n">
        <v>10896023</v>
      </c>
      <c r="BA11" s="42">
        <f>AZ11/AY11</f>
        <v/>
      </c>
      <c r="BB11" s="43">
        <f>BA11*3.30578512</f>
        <v/>
      </c>
      <c r="BC11" s="15" t="n">
        <v>426713</v>
      </c>
      <c r="BD11" s="16" t="n">
        <v>12037838</v>
      </c>
      <c r="BE11" s="42">
        <f>BD11/BC11</f>
        <v/>
      </c>
      <c r="BF11" s="43">
        <f>BE11*3.30578512</f>
        <v/>
      </c>
      <c r="BG11" s="15" t="n">
        <v>426628</v>
      </c>
      <c r="BH11" s="16" t="n">
        <v>10028344</v>
      </c>
      <c r="BI11" s="42">
        <f>BH11/BG11</f>
        <v/>
      </c>
      <c r="BJ11" s="43">
        <f>BI11*3.30578512</f>
        <v/>
      </c>
      <c r="BK11" s="15" t="n">
        <v>429740</v>
      </c>
      <c r="BL11" s="16" t="n">
        <v>10476952</v>
      </c>
      <c r="BM11" s="42">
        <f>BL11/BK11</f>
        <v/>
      </c>
      <c r="BN11" s="43">
        <f>BM11*3.30578512</f>
        <v/>
      </c>
      <c r="BO11" s="15" t="n">
        <v>477653</v>
      </c>
      <c r="BP11" s="16" t="n">
        <v>14518674</v>
      </c>
      <c r="BQ11" s="42">
        <f>BP11/BO11</f>
        <v/>
      </c>
      <c r="BR11" s="43">
        <f>BQ11*3.30578512</f>
        <v/>
      </c>
      <c r="BS11" s="15" t="n">
        <v>436991</v>
      </c>
      <c r="BT11" s="16" t="n">
        <v>13656448</v>
      </c>
      <c r="BU11" s="42">
        <f>BT11/BS11</f>
        <v/>
      </c>
      <c r="BV11" s="43">
        <f>BU11*3.30578512</f>
        <v/>
      </c>
      <c r="BW11" s="15" t="n">
        <v>441980</v>
      </c>
      <c r="BX11" s="16" t="n">
        <v>13211462</v>
      </c>
      <c r="BY11" s="42">
        <f>BX11/BW11</f>
        <v/>
      </c>
      <c r="BZ11" s="43">
        <f>BY11*3.30578512</f>
        <v/>
      </c>
      <c r="CA11" s="15" t="n">
        <v>587762</v>
      </c>
      <c r="CB11" s="16" t="n">
        <v>18266439</v>
      </c>
      <c r="CC11" s="42">
        <f>CB11/CA11</f>
        <v/>
      </c>
      <c r="CD11" s="43">
        <f>CC11*3.30578512</f>
        <v/>
      </c>
      <c r="CE11" s="15" t="n">
        <v>507410</v>
      </c>
      <c r="CF11" s="16" t="n">
        <v>15077442</v>
      </c>
      <c r="CG11" s="42">
        <f>CF11/CE11</f>
        <v/>
      </c>
      <c r="CH11" s="43">
        <f>CG11*3.30578512</f>
        <v/>
      </c>
      <c r="CI11" s="15" t="n">
        <v>431504</v>
      </c>
      <c r="CJ11" s="16" t="n">
        <v>13681572</v>
      </c>
      <c r="CK11" s="42">
        <f>CJ11/CI11</f>
        <v/>
      </c>
      <c r="CL11" s="43">
        <f>CK11*3.30578512</f>
        <v/>
      </c>
      <c r="CM11" s="15" t="n">
        <v>569025</v>
      </c>
      <c r="CN11" s="16" t="n">
        <v>16385060</v>
      </c>
      <c r="CO11" s="42">
        <f>CN11/CM11</f>
        <v/>
      </c>
      <c r="CP11" s="43">
        <f>CO11*3.30578512</f>
        <v/>
      </c>
      <c r="CQ11" s="15" t="n">
        <v>384777</v>
      </c>
      <c r="CR11" s="16" t="n">
        <v>12314279</v>
      </c>
      <c r="CS11" s="42">
        <f>CR11/CQ11</f>
        <v/>
      </c>
      <c r="CT11" s="43">
        <f>CS11*3.30578512</f>
        <v/>
      </c>
      <c r="CU11" s="15" t="n">
        <v>396343</v>
      </c>
      <c r="CV11" s="16" t="n">
        <v>13183424</v>
      </c>
      <c r="CW11" s="42">
        <f>CV11/CU11</f>
        <v/>
      </c>
      <c r="CX11" s="43">
        <f>CW11*3.30578512</f>
        <v/>
      </c>
      <c r="CY11" s="15" t="n">
        <v>382059</v>
      </c>
      <c r="CZ11" s="16" t="n">
        <v>13252033</v>
      </c>
      <c r="DA11" s="42">
        <f>CZ11/CY11</f>
        <v/>
      </c>
      <c r="DB11" s="43">
        <f>DA11*3.30578512</f>
        <v/>
      </c>
      <c r="DC11" s="15" t="n">
        <v>423007</v>
      </c>
      <c r="DD11" s="16" t="n">
        <v>22456401</v>
      </c>
      <c r="DE11" s="42">
        <f>DD11/DC11</f>
        <v/>
      </c>
      <c r="DF11" s="43">
        <f>DE11*3.30578512</f>
        <v/>
      </c>
      <c r="DG11" s="15" t="n">
        <v>467942</v>
      </c>
      <c r="DH11" s="16" t="n">
        <v>19166153</v>
      </c>
      <c r="DI11" s="42">
        <f>DH11/DG11</f>
        <v/>
      </c>
      <c r="DJ11" s="43">
        <f>DI11*3.30578512</f>
        <v/>
      </c>
      <c r="DK11" s="15" t="n">
        <v>690848</v>
      </c>
      <c r="DL11" s="16" t="n">
        <v>28299445</v>
      </c>
      <c r="DM11" s="42">
        <f>DL11/DK11</f>
        <v/>
      </c>
      <c r="DN11" s="43">
        <f>DM11*3.30578512</f>
        <v/>
      </c>
      <c r="DO11" s="15" t="n">
        <v>369532</v>
      </c>
      <c r="DP11" s="16" t="n">
        <v>12152064</v>
      </c>
      <c r="DQ11" s="42">
        <f>DP11/DO11</f>
        <v/>
      </c>
      <c r="DR11" s="43">
        <f>DQ11*3.30578512</f>
        <v/>
      </c>
      <c r="DS11" s="15" t="n">
        <v>413077</v>
      </c>
      <c r="DT11" s="16" t="n">
        <v>14026501</v>
      </c>
      <c r="DU11" s="42">
        <f>DT11/DS11</f>
        <v/>
      </c>
      <c r="DV11" s="43">
        <f>DU11*3.30578512</f>
        <v/>
      </c>
      <c r="DW11" s="15" t="n">
        <v>369620</v>
      </c>
      <c r="DX11" s="16" t="n">
        <v>11544272</v>
      </c>
      <c r="DY11" s="42">
        <f>DX11/DW11</f>
        <v/>
      </c>
      <c r="DZ11" s="43">
        <f>DY11*3.30578512</f>
        <v/>
      </c>
      <c r="EA11" s="15" t="n">
        <v>427197</v>
      </c>
      <c r="EB11" s="16" t="n">
        <v>21559705</v>
      </c>
      <c r="EC11" s="42">
        <f>EB11/EA11</f>
        <v/>
      </c>
      <c r="ED11" s="43">
        <f>EC11*3.30578512</f>
        <v/>
      </c>
      <c r="EE11" s="15" t="n">
        <v>473210</v>
      </c>
      <c r="EF11" s="16" t="n">
        <v>17192389</v>
      </c>
      <c r="EG11" s="42">
        <f>EF11/EE11</f>
        <v/>
      </c>
      <c r="EH11" s="43">
        <f>EG11*3.30578512</f>
        <v/>
      </c>
      <c r="EI11" s="15" t="n">
        <v>432596</v>
      </c>
      <c r="EJ11" s="16" t="n">
        <v>15735547</v>
      </c>
      <c r="EK11" s="42">
        <f>EJ11/EI11</f>
        <v/>
      </c>
      <c r="EL11" s="43">
        <f>EK11*3.30578512</f>
        <v/>
      </c>
      <c r="EM11" s="15" t="n">
        <v>344658</v>
      </c>
      <c r="EN11" s="16" t="n">
        <v>10792773</v>
      </c>
      <c r="EO11" s="42">
        <f>EN11/EM11</f>
        <v/>
      </c>
      <c r="EP11" s="43">
        <f>EO11*3.30578512</f>
        <v/>
      </c>
      <c r="EQ11" s="15" t="n">
        <v>335412</v>
      </c>
      <c r="ER11" s="16" t="n">
        <v>12330928</v>
      </c>
      <c r="ES11" s="42">
        <f>ER11/EQ11</f>
        <v/>
      </c>
      <c r="ET11" s="43">
        <f>ES11*3.30578512</f>
        <v/>
      </c>
      <c r="EU11" s="15" t="n">
        <v>353303</v>
      </c>
      <c r="EV11" s="16" t="n">
        <v>10780340.16078</v>
      </c>
      <c r="EW11" s="42">
        <f>EV11/EU11</f>
        <v/>
      </c>
      <c r="EX11" s="43">
        <f>EW11*3.30578512</f>
        <v/>
      </c>
      <c r="EY11" s="15" t="n">
        <v>270559</v>
      </c>
      <c r="EZ11" s="16" t="n">
        <v>12760862.00277</v>
      </c>
      <c r="FA11" s="42">
        <f>EZ11/EY11</f>
        <v/>
      </c>
      <c r="FB11" s="43">
        <f>FA11*3.30578512</f>
        <v/>
      </c>
      <c r="FC11" s="15" t="n">
        <v>469145</v>
      </c>
      <c r="FD11" s="16" t="n">
        <v>25382588.23332</v>
      </c>
      <c r="FE11" s="42">
        <f>FD11/FC11</f>
        <v/>
      </c>
      <c r="FF11" s="43">
        <f>FE11*3.30578512</f>
        <v/>
      </c>
      <c r="FG11" s="15" t="n">
        <v>1234635</v>
      </c>
      <c r="FH11" s="16" t="n">
        <v>88701906.48126</v>
      </c>
      <c r="FI11" s="42">
        <f>FH11/FG11</f>
        <v/>
      </c>
      <c r="FJ11" s="43">
        <f>FI11*3.30578512</f>
        <v/>
      </c>
      <c r="FK11" s="15" t="n">
        <v>358272</v>
      </c>
      <c r="FL11" s="16" t="n">
        <v>22722115.97924</v>
      </c>
      <c r="FM11" s="42">
        <f>FL11/FK11</f>
        <v/>
      </c>
      <c r="FN11" s="43">
        <f>FM11*3.30578512</f>
        <v/>
      </c>
      <c r="FO11" s="15" t="n"/>
      <c r="FP11" s="16" t="n"/>
      <c r="FQ11" s="42">
        <f>FP11/FO11</f>
        <v/>
      </c>
      <c r="FR11" s="43">
        <f>FQ11*3.30578512</f>
        <v/>
      </c>
      <c r="FS11" s="15" t="n"/>
      <c r="FT11" s="16" t="n"/>
      <c r="FU11" s="42">
        <f>FT11/FS11</f>
        <v/>
      </c>
      <c r="FV11" s="43">
        <f>FU11*3.30578512</f>
        <v/>
      </c>
      <c r="FW11" s="15" t="n"/>
      <c r="FX11" s="16" t="n"/>
      <c r="FY11" s="42">
        <f>FX11/FW11</f>
        <v/>
      </c>
      <c r="FZ11" s="43">
        <f>FY11*3.30578512</f>
        <v/>
      </c>
    </row>
    <row r="12">
      <c r="EU12" s="44" t="n"/>
      <c r="EV12" s="44" t="n"/>
      <c r="EY12" s="44" t="n"/>
      <c r="EZ12" s="44" t="n"/>
      <c r="FC12" s="44" t="n"/>
      <c r="FD12" s="44" t="n"/>
      <c r="FG12" s="44" t="n"/>
      <c r="FH12" s="44" t="n"/>
      <c r="FK12" s="44" t="n"/>
      <c r="FL12" s="44" t="n"/>
      <c r="FO12" s="44" t="n"/>
      <c r="FP12" s="44" t="n"/>
      <c r="FS12" s="44" t="n"/>
      <c r="FT12" s="44" t="n"/>
      <c r="FW12" s="44" t="n"/>
      <c r="FX12" s="44" t="n"/>
    </row>
    <row r="15" ht="18.6" customHeight="1" thickBot="1">
      <c r="B15" s="2" t="inlineStr">
        <is>
          <t>着工多用途建築物</t>
        </is>
      </c>
    </row>
    <row r="16">
      <c r="C16" s="4" t="inlineStr">
        <is>
          <t>2015（基準）</t>
        </is>
      </c>
      <c r="D16" s="5" t="n"/>
      <c r="E16" s="5" t="n"/>
      <c r="F16" s="6" t="n"/>
      <c r="G16" s="4" t="inlineStr">
        <is>
          <t>令和4年1月分</t>
        </is>
      </c>
      <c r="H16" s="5" t="n"/>
      <c r="I16" s="5" t="n"/>
      <c r="J16" s="6" t="n"/>
      <c r="K16" s="4" t="inlineStr">
        <is>
          <t>令和4年2月分</t>
        </is>
      </c>
      <c r="M16" s="5" t="n"/>
      <c r="N16" s="6" t="n"/>
      <c r="O16" s="4" t="inlineStr">
        <is>
          <t>令和4年3月分</t>
        </is>
      </c>
      <c r="Q16" s="5" t="n"/>
      <c r="R16" s="6" t="n"/>
      <c r="S16" s="4" t="inlineStr">
        <is>
          <t>令和4年4月分</t>
        </is>
      </c>
      <c r="T16" s="5" t="n"/>
      <c r="U16" s="5" t="n"/>
      <c r="V16" s="6" t="n"/>
      <c r="W16" s="4" t="inlineStr">
        <is>
          <t>令和4年5月分</t>
        </is>
      </c>
      <c r="Y16" s="5" t="n"/>
      <c r="Z16" s="6" t="n"/>
      <c r="AA16" s="4" t="inlineStr">
        <is>
          <t>令和4年6月分</t>
        </is>
      </c>
      <c r="AC16" s="5" t="n"/>
      <c r="AD16" s="6" t="n"/>
      <c r="AE16" s="4" t="inlineStr">
        <is>
          <t>令和4年7月分</t>
        </is>
      </c>
      <c r="AF16" s="5" t="n"/>
      <c r="AG16" s="5" t="n"/>
      <c r="AH16" s="6" t="n"/>
      <c r="AI16" s="4" t="inlineStr">
        <is>
          <t>令和4年8月分</t>
        </is>
      </c>
      <c r="AK16" s="5" t="n"/>
      <c r="AL16" s="6" t="n"/>
      <c r="AM16" s="4" t="inlineStr">
        <is>
          <t>令和4年9月分</t>
        </is>
      </c>
      <c r="AO16" s="5" t="n"/>
      <c r="AP16" s="6" t="n"/>
      <c r="AQ16" s="4" t="inlineStr">
        <is>
          <t>令和4年10月分</t>
        </is>
      </c>
      <c r="AR16" s="5" t="n"/>
      <c r="AS16" s="5" t="n"/>
      <c r="AT16" s="6" t="n"/>
      <c r="AU16" s="4" t="inlineStr">
        <is>
          <t>令和4年11月分</t>
        </is>
      </c>
      <c r="AW16" s="5" t="n"/>
      <c r="AX16" s="6" t="n"/>
      <c r="AY16" s="4" t="inlineStr">
        <is>
          <t>令和4年12月分</t>
        </is>
      </c>
      <c r="AZ16" s="5" t="n"/>
      <c r="BA16" s="5" t="n"/>
      <c r="BB16" s="6" t="n"/>
      <c r="BC16" s="4" t="inlineStr">
        <is>
          <t>令和5年1月分</t>
        </is>
      </c>
      <c r="BD16" s="5" t="n"/>
      <c r="BE16" s="5" t="n"/>
      <c r="BF16" s="6" t="n"/>
      <c r="BG16" s="4" t="inlineStr">
        <is>
          <t>令和5年2月分</t>
        </is>
      </c>
      <c r="BI16" s="5" t="n"/>
      <c r="BJ16" s="6" t="n"/>
      <c r="BK16" s="4" t="inlineStr">
        <is>
          <t>令和5年3月分</t>
        </is>
      </c>
      <c r="BM16" s="5" t="n"/>
      <c r="BN16" s="6" t="n"/>
      <c r="BO16" s="4" t="inlineStr">
        <is>
          <t>令和5年4月分</t>
        </is>
      </c>
      <c r="BP16" s="5" t="n"/>
      <c r="BQ16" s="5" t="n"/>
      <c r="BR16" s="6" t="n"/>
      <c r="BS16" s="4" t="inlineStr">
        <is>
          <t>令和5年5月分</t>
        </is>
      </c>
      <c r="BU16" s="5" t="n"/>
      <c r="BV16" s="6" t="n"/>
      <c r="BW16" s="4" t="inlineStr">
        <is>
          <t>令和5年6月分</t>
        </is>
      </c>
      <c r="BY16" s="5" t="n"/>
      <c r="BZ16" s="6" t="n"/>
      <c r="CA16" s="4" t="inlineStr">
        <is>
          <t>令和5年7月分</t>
        </is>
      </c>
      <c r="CB16" s="5" t="n"/>
      <c r="CC16" s="5" t="n"/>
      <c r="CD16" s="6" t="n"/>
      <c r="CE16" s="4" t="inlineStr">
        <is>
          <t>令和5年8月分</t>
        </is>
      </c>
      <c r="CG16" s="5" t="n"/>
      <c r="CH16" s="6" t="n"/>
      <c r="CI16" s="4" t="inlineStr">
        <is>
          <t>令和5年9月分</t>
        </is>
      </c>
      <c r="CK16" s="5" t="n"/>
      <c r="CL16" s="6" t="n"/>
      <c r="CM16" s="4" t="inlineStr">
        <is>
          <t>令和5年10月分</t>
        </is>
      </c>
      <c r="CN16" s="5" t="n"/>
      <c r="CO16" s="5" t="n"/>
      <c r="CP16" s="6" t="n"/>
      <c r="CQ16" s="4" t="inlineStr">
        <is>
          <t>令和5年11月分</t>
        </is>
      </c>
      <c r="CS16" s="5" t="n"/>
      <c r="CT16" s="6" t="n"/>
      <c r="CU16" s="4" t="inlineStr">
        <is>
          <t>令和5年12月分</t>
        </is>
      </c>
      <c r="CV16" s="5" t="n"/>
      <c r="CW16" s="5" t="n"/>
      <c r="CX16" s="6" t="n"/>
      <c r="CY16" s="4" t="inlineStr">
        <is>
          <t>令和6年1月分</t>
        </is>
      </c>
      <c r="CZ16" s="5" t="n"/>
      <c r="DA16" s="5" t="n"/>
      <c r="DB16" s="6" t="n"/>
      <c r="DC16" s="4" t="inlineStr">
        <is>
          <t>令和6年2月分</t>
        </is>
      </c>
      <c r="DE16" s="5" t="n"/>
      <c r="DF16" s="6" t="n"/>
      <c r="DG16" s="4" t="inlineStr">
        <is>
          <t>令和6年3月分</t>
        </is>
      </c>
      <c r="DI16" s="5" t="n"/>
      <c r="DJ16" s="6" t="n"/>
      <c r="DK16" s="4" t="inlineStr">
        <is>
          <t>令和6年4月分</t>
        </is>
      </c>
      <c r="DL16" s="5" t="n"/>
      <c r="DM16" s="5" t="n"/>
      <c r="DN16" s="6" t="n"/>
      <c r="DO16" s="4" t="inlineStr">
        <is>
          <t>令和6年5月分</t>
        </is>
      </c>
      <c r="DQ16" s="5" t="n"/>
      <c r="DR16" s="6" t="n"/>
      <c r="DS16" s="4" t="inlineStr">
        <is>
          <t>令和6年6月分</t>
        </is>
      </c>
      <c r="DU16" s="5" t="n"/>
      <c r="DV16" s="6" t="n"/>
      <c r="DW16" s="4" t="inlineStr">
        <is>
          <t>令和6年7月分</t>
        </is>
      </c>
      <c r="DX16" s="5" t="n"/>
      <c r="DY16" s="5" t="n"/>
      <c r="DZ16" s="6" t="n"/>
      <c r="EA16" s="4" t="inlineStr">
        <is>
          <t>令和6年8月分</t>
        </is>
      </c>
      <c r="EC16" s="5" t="n"/>
      <c r="ED16" s="6" t="n"/>
      <c r="EE16" s="4" t="inlineStr">
        <is>
          <t>令和6年9月分</t>
        </is>
      </c>
      <c r="EG16" s="5" t="n"/>
      <c r="EH16" s="6" t="n"/>
      <c r="EI16" s="4" t="inlineStr">
        <is>
          <t>令和6年10月分</t>
        </is>
      </c>
      <c r="EJ16" s="5" t="n"/>
      <c r="EK16" s="5" t="n"/>
      <c r="EL16" s="6" t="n"/>
      <c r="EM16" s="4" t="inlineStr">
        <is>
          <t>令和6年11月分</t>
        </is>
      </c>
      <c r="EN16" s="5" t="n"/>
      <c r="EO16" s="5" t="n"/>
      <c r="EP16" s="6" t="n"/>
      <c r="EQ16" s="4" t="inlineStr">
        <is>
          <t>令和6年12月分</t>
        </is>
      </c>
      <c r="ER16" s="5" t="n"/>
      <c r="ES16" s="5" t="n"/>
      <c r="ET16" s="6" t="n"/>
      <c r="EU16" s="4" t="inlineStr">
        <is>
          <t>令和7年1月分</t>
        </is>
      </c>
      <c r="EV16" s="5" t="n"/>
      <c r="EW16" s="5" t="n"/>
      <c r="EX16" s="6" t="n"/>
      <c r="EY16" s="4" t="inlineStr">
        <is>
          <t>令和7年2月分</t>
        </is>
      </c>
      <c r="EZ16" s="5" t="n"/>
      <c r="FA16" s="5" t="n"/>
      <c r="FB16" s="6" t="n"/>
      <c r="FC16" s="4" t="inlineStr">
        <is>
          <t>令和7年3月分</t>
        </is>
      </c>
      <c r="FD16" s="5" t="n"/>
      <c r="FE16" s="5" t="n"/>
      <c r="FF16" s="6" t="n"/>
      <c r="FG16" s="4" t="inlineStr">
        <is>
          <t>令和7年4月分</t>
        </is>
      </c>
      <c r="FH16" s="5" t="n"/>
      <c r="FI16" s="5" t="n"/>
      <c r="FJ16" s="6" t="n"/>
      <c r="FK16" s="4" t="inlineStr">
        <is>
          <t>令和7年5月分</t>
        </is>
      </c>
      <c r="FL16" s="5" t="n"/>
      <c r="FM16" s="5" t="n"/>
      <c r="FN16" s="6" t="n"/>
      <c r="FO16" s="4" t="inlineStr">
        <is>
          <t>令和7年6月分</t>
        </is>
      </c>
      <c r="FP16" s="5" t="n"/>
      <c r="FQ16" s="5" t="n"/>
      <c r="FR16" s="6" t="n"/>
      <c r="FS16" s="4" t="inlineStr">
        <is>
          <t>令和7年7月分</t>
        </is>
      </c>
      <c r="FT16" s="5" t="n"/>
      <c r="FU16" s="5" t="n"/>
      <c r="FV16" s="6" t="n"/>
      <c r="FW16" s="4" t="inlineStr">
        <is>
          <t>令和7年8月分</t>
        </is>
      </c>
      <c r="FX16" s="5" t="n"/>
      <c r="FY16" s="5" t="n"/>
      <c r="FZ16" s="6" t="n"/>
      <c r="GA16" s="4" t="inlineStr">
        <is>
          <t>令和7年9月分</t>
        </is>
      </c>
      <c r="GB16" s="5" t="n"/>
      <c r="GC16" s="5" t="n"/>
      <c r="GD16" s="6" t="n"/>
      <c r="GE16" s="4" t="inlineStr">
        <is>
          <t>令和7年10月分</t>
        </is>
      </c>
      <c r="GF16" s="5" t="n"/>
      <c r="GG16" s="5" t="n"/>
      <c r="GH16" s="6" t="n"/>
      <c r="GI16" s="4" t="inlineStr">
        <is>
          <t>令和7年11月分</t>
        </is>
      </c>
      <c r="GJ16" s="5" t="n"/>
      <c r="GK16" s="5" t="n"/>
      <c r="GL16" s="6" t="n"/>
    </row>
    <row r="17" ht="45" customHeight="1">
      <c r="C17" s="7" t="inlineStr">
        <is>
          <t>床面積の合計　（㎡）</t>
        </is>
      </c>
      <c r="D17" s="8" t="inlineStr">
        <is>
          <t>工事費予定額（万円）</t>
        </is>
      </c>
      <c r="E17" s="9" t="inlineStr">
        <is>
          <t>面積単価
（万円/㎡）</t>
        </is>
      </c>
      <c r="F17" s="10" t="inlineStr">
        <is>
          <t>面積単価
（万円/坪）</t>
        </is>
      </c>
      <c r="G17" s="7" t="inlineStr">
        <is>
          <t>床面積の合計　（㎡）</t>
        </is>
      </c>
      <c r="H17" s="8" t="inlineStr">
        <is>
          <t>工事費予定額（万円）</t>
        </is>
      </c>
      <c r="I17" s="9" t="inlineStr">
        <is>
          <t>面積単価
（万円/㎡）</t>
        </is>
      </c>
      <c r="J17" s="10" t="inlineStr">
        <is>
          <t>面積単価
（万円/坪）</t>
        </is>
      </c>
      <c r="K17" s="7" t="inlineStr">
        <is>
          <t>床面積の合計　（㎡）</t>
        </is>
      </c>
      <c r="L17" s="8" t="inlineStr">
        <is>
          <t>工事費予定額（万円）</t>
        </is>
      </c>
      <c r="M17" s="9" t="inlineStr">
        <is>
          <t>面積単価
（万円/㎡）</t>
        </is>
      </c>
      <c r="N17" s="10" t="inlineStr">
        <is>
          <t>面積単価
（万円/坪）</t>
        </is>
      </c>
      <c r="O17" s="7" t="inlineStr">
        <is>
          <t>床面積の合計　（㎡）</t>
        </is>
      </c>
      <c r="P17" s="8" t="inlineStr">
        <is>
          <t>工事費予定額（万円）</t>
        </is>
      </c>
      <c r="Q17" s="9" t="inlineStr">
        <is>
          <t>面積単価
（万円/㎡）</t>
        </is>
      </c>
      <c r="R17" s="10" t="inlineStr">
        <is>
          <t>面積単価
（万円/坪）</t>
        </is>
      </c>
      <c r="S17" s="7" t="inlineStr">
        <is>
          <t>床面積の合計　（㎡）</t>
        </is>
      </c>
      <c r="T17" s="8" t="inlineStr">
        <is>
          <t>工事費予定額（万円）</t>
        </is>
      </c>
      <c r="U17" s="9" t="inlineStr">
        <is>
          <t>面積単価
（万円/㎡）</t>
        </is>
      </c>
      <c r="V17" s="10" t="inlineStr">
        <is>
          <t>面積単価
（万円/坪）</t>
        </is>
      </c>
      <c r="W17" s="7" t="inlineStr">
        <is>
          <t>床面積の合計　（㎡）</t>
        </is>
      </c>
      <c r="X17" s="8" t="inlineStr">
        <is>
          <t>工事費予定額（万円）</t>
        </is>
      </c>
      <c r="Y17" s="9" t="inlineStr">
        <is>
          <t>面積単価
（万円/㎡）</t>
        </is>
      </c>
      <c r="Z17" s="10" t="inlineStr">
        <is>
          <t>面積単価
（万円/坪）</t>
        </is>
      </c>
      <c r="AA17" s="7" t="inlineStr">
        <is>
          <t>床面積の合計　（㎡）</t>
        </is>
      </c>
      <c r="AB17" s="8" t="inlineStr">
        <is>
          <t>工事費予定額（万円）</t>
        </is>
      </c>
      <c r="AC17" s="9" t="inlineStr">
        <is>
          <t>面積単価
（万円/㎡）</t>
        </is>
      </c>
      <c r="AD17" s="10" t="inlineStr">
        <is>
          <t>面積単価
（万円/坪）</t>
        </is>
      </c>
      <c r="AE17" s="7" t="inlineStr">
        <is>
          <t>床面積の合計　（㎡）</t>
        </is>
      </c>
      <c r="AF17" s="8" t="inlineStr">
        <is>
          <t>工事費予定額（万円）</t>
        </is>
      </c>
      <c r="AG17" s="9" t="inlineStr">
        <is>
          <t>面積単価
（万円/㎡）</t>
        </is>
      </c>
      <c r="AH17" s="10" t="inlineStr">
        <is>
          <t>面積単価
（万円/坪）</t>
        </is>
      </c>
      <c r="AI17" s="7" t="inlineStr">
        <is>
          <t>床面積の合計　（㎡）</t>
        </is>
      </c>
      <c r="AJ17" s="8" t="inlineStr">
        <is>
          <t>工事費予定額（万円）</t>
        </is>
      </c>
      <c r="AK17" s="9" t="inlineStr">
        <is>
          <t>面積単価
（万円/㎡）</t>
        </is>
      </c>
      <c r="AL17" s="10" t="inlineStr">
        <is>
          <t>面積単価
（万円/坪）</t>
        </is>
      </c>
      <c r="AM17" s="7" t="inlineStr">
        <is>
          <t>床面積の合計　（㎡）</t>
        </is>
      </c>
      <c r="AN17" s="8" t="inlineStr">
        <is>
          <t>工事費予定額（万円）</t>
        </is>
      </c>
      <c r="AO17" s="9" t="inlineStr">
        <is>
          <t>面積単価
（万円/㎡）</t>
        </is>
      </c>
      <c r="AP17" s="10" t="inlineStr">
        <is>
          <t>面積単価
（万円/坪）</t>
        </is>
      </c>
      <c r="AQ17" s="7" t="inlineStr">
        <is>
          <t>床面積の合計　（㎡）</t>
        </is>
      </c>
      <c r="AR17" s="8" t="inlineStr">
        <is>
          <t>工事費予定額（万円）</t>
        </is>
      </c>
      <c r="AS17" s="9" t="inlineStr">
        <is>
          <t>面積単価
（万円/㎡）</t>
        </is>
      </c>
      <c r="AT17" s="10" t="inlineStr">
        <is>
          <t>面積単価
（万円/坪）</t>
        </is>
      </c>
      <c r="AU17" s="7" t="inlineStr">
        <is>
          <t>床面積の合計　（㎡）</t>
        </is>
      </c>
      <c r="AV17" s="8" t="inlineStr">
        <is>
          <t>工事費予定額（万円）</t>
        </is>
      </c>
      <c r="AW17" s="9" t="inlineStr">
        <is>
          <t>面積単価
（万円/㎡）</t>
        </is>
      </c>
      <c r="AX17" s="10" t="inlineStr">
        <is>
          <t>面積単価
（万円/坪）</t>
        </is>
      </c>
      <c r="AY17" s="7" t="inlineStr">
        <is>
          <t>床面積の合計　（㎡）</t>
        </is>
      </c>
      <c r="AZ17" s="8" t="inlineStr">
        <is>
          <t>工事費予定額（万円）</t>
        </is>
      </c>
      <c r="BA17" s="9" t="inlineStr">
        <is>
          <t>面積単価
（万円/㎡）</t>
        </is>
      </c>
      <c r="BB17" s="10" t="inlineStr">
        <is>
          <t>面積単価
（万円/坪）</t>
        </is>
      </c>
      <c r="BC17" s="7" t="inlineStr">
        <is>
          <t>床面積の合計　（㎡）</t>
        </is>
      </c>
      <c r="BD17" s="8" t="inlineStr">
        <is>
          <t>工事費予定額（万円）</t>
        </is>
      </c>
      <c r="BE17" s="9" t="inlineStr">
        <is>
          <t>面積単価
（万円/㎡）</t>
        </is>
      </c>
      <c r="BF17" s="10" t="inlineStr">
        <is>
          <t>面積単価
（万円/坪）</t>
        </is>
      </c>
      <c r="BG17" s="7" t="inlineStr">
        <is>
          <t>床面積の合計　（㎡）</t>
        </is>
      </c>
      <c r="BH17" s="8" t="inlineStr">
        <is>
          <t>工事費予定額（万円）</t>
        </is>
      </c>
      <c r="BI17" s="9" t="inlineStr">
        <is>
          <t>面積単価
（万円/㎡）</t>
        </is>
      </c>
      <c r="BJ17" s="10" t="inlineStr">
        <is>
          <t>面積単価
（万円/坪）</t>
        </is>
      </c>
      <c r="BK17" s="7" t="inlineStr">
        <is>
          <t>床面積の合計　（㎡）</t>
        </is>
      </c>
      <c r="BL17" s="8" t="inlineStr">
        <is>
          <t>工事費予定額（万円）</t>
        </is>
      </c>
      <c r="BM17" s="9" t="inlineStr">
        <is>
          <t>面積単価
（万円/㎡）</t>
        </is>
      </c>
      <c r="BN17" s="10" t="inlineStr">
        <is>
          <t>面積単価
（万円/坪）</t>
        </is>
      </c>
      <c r="BO17" s="7" t="inlineStr">
        <is>
          <t>床面積の合計　（㎡）</t>
        </is>
      </c>
      <c r="BP17" s="8" t="inlineStr">
        <is>
          <t>工事費予定額（万円）</t>
        </is>
      </c>
      <c r="BQ17" s="9" t="inlineStr">
        <is>
          <t>面積単価
（万円/㎡）</t>
        </is>
      </c>
      <c r="BR17" s="10" t="inlineStr">
        <is>
          <t>面積単価
（万円/坪）</t>
        </is>
      </c>
      <c r="BS17" s="7" t="inlineStr">
        <is>
          <t>床面積の合計　（㎡）</t>
        </is>
      </c>
      <c r="BT17" s="8" t="inlineStr">
        <is>
          <t>工事費予定額（万円）</t>
        </is>
      </c>
      <c r="BU17" s="9" t="inlineStr">
        <is>
          <t>面積単価
（万円/㎡）</t>
        </is>
      </c>
      <c r="BV17" s="10" t="inlineStr">
        <is>
          <t>面積単価
（万円/坪）</t>
        </is>
      </c>
      <c r="BW17" s="7" t="inlineStr">
        <is>
          <t>床面積の合計　（㎡）</t>
        </is>
      </c>
      <c r="BX17" s="8" t="inlineStr">
        <is>
          <t>工事費予定額（万円）</t>
        </is>
      </c>
      <c r="BY17" s="9" t="inlineStr">
        <is>
          <t>面積単価
（万円/㎡）</t>
        </is>
      </c>
      <c r="BZ17" s="10" t="inlineStr">
        <is>
          <t>面積単価
（万円/坪）</t>
        </is>
      </c>
      <c r="CA17" s="7" t="inlineStr">
        <is>
          <t>床面積の合計　（㎡）</t>
        </is>
      </c>
      <c r="CB17" s="8" t="inlineStr">
        <is>
          <t>工事費予定額（万円）</t>
        </is>
      </c>
      <c r="CC17" s="9" t="inlineStr">
        <is>
          <t>面積単価
（万円/㎡）</t>
        </is>
      </c>
      <c r="CD17" s="10" t="inlineStr">
        <is>
          <t>面積単価
（万円/坪）</t>
        </is>
      </c>
      <c r="CE17" s="7" t="inlineStr">
        <is>
          <t>床面積の合計　（㎡）</t>
        </is>
      </c>
      <c r="CF17" s="8" t="inlineStr">
        <is>
          <t>工事費予定額（万円）</t>
        </is>
      </c>
      <c r="CG17" s="9" t="inlineStr">
        <is>
          <t>面積単価
（万円/㎡）</t>
        </is>
      </c>
      <c r="CH17" s="10" t="inlineStr">
        <is>
          <t>面積単価
（万円/坪）</t>
        </is>
      </c>
      <c r="CI17" s="7" t="inlineStr">
        <is>
          <t>床面積の合計　（㎡）</t>
        </is>
      </c>
      <c r="CJ17" s="8" t="inlineStr">
        <is>
          <t>工事費予定額（万円）</t>
        </is>
      </c>
      <c r="CK17" s="9" t="inlineStr">
        <is>
          <t>面積単価
（万円/㎡）</t>
        </is>
      </c>
      <c r="CL17" s="10" t="inlineStr">
        <is>
          <t>面積単価
（万円/坪）</t>
        </is>
      </c>
      <c r="CM17" s="7" t="inlineStr">
        <is>
          <t>床面積の合計　（㎡）</t>
        </is>
      </c>
      <c r="CN17" s="8" t="inlineStr">
        <is>
          <t>工事費予定額（万円）</t>
        </is>
      </c>
      <c r="CO17" s="9" t="inlineStr">
        <is>
          <t>面積単価
（万円/㎡）</t>
        </is>
      </c>
      <c r="CP17" s="10" t="inlineStr">
        <is>
          <t>面積単価
（万円/坪）</t>
        </is>
      </c>
      <c r="CQ17" s="7" t="inlineStr">
        <is>
          <t>床面積の合計　（㎡）</t>
        </is>
      </c>
      <c r="CR17" s="8" t="inlineStr">
        <is>
          <t>工事費予定額（万円）</t>
        </is>
      </c>
      <c r="CS17" s="9" t="inlineStr">
        <is>
          <t>面積単価
（万円/㎡）</t>
        </is>
      </c>
      <c r="CT17" s="10" t="inlineStr">
        <is>
          <t>面積単価
（万円/坪）</t>
        </is>
      </c>
      <c r="CU17" s="7" t="inlineStr">
        <is>
          <t>床面積の合計　（㎡）</t>
        </is>
      </c>
      <c r="CV17" s="8" t="inlineStr">
        <is>
          <t>工事費予定額（万円）</t>
        </is>
      </c>
      <c r="CW17" s="9" t="inlineStr">
        <is>
          <t>面積単価
（万円/㎡）</t>
        </is>
      </c>
      <c r="CX17" s="10" t="inlineStr">
        <is>
          <t>面積単価
（万円/坪）</t>
        </is>
      </c>
      <c r="CY17" s="7" t="inlineStr">
        <is>
          <t>床面積の合計　（㎡）</t>
        </is>
      </c>
      <c r="CZ17" s="8" t="inlineStr">
        <is>
          <t>工事費予定額（万円）</t>
        </is>
      </c>
      <c r="DA17" s="9" t="inlineStr">
        <is>
          <t>面積単価
（万円/㎡）</t>
        </is>
      </c>
      <c r="DB17" s="10" t="inlineStr">
        <is>
          <t>面積単価
（万円/坪）</t>
        </is>
      </c>
      <c r="DC17" s="7" t="inlineStr">
        <is>
          <t>床面積の合計　（㎡）</t>
        </is>
      </c>
      <c r="DD17" s="8" t="inlineStr">
        <is>
          <t>工事費予定額（万円）</t>
        </is>
      </c>
      <c r="DE17" s="9" t="inlineStr">
        <is>
          <t>面積単価
（万円/㎡）</t>
        </is>
      </c>
      <c r="DF17" s="10" t="inlineStr">
        <is>
          <t>面積単価
（万円/坪）</t>
        </is>
      </c>
      <c r="DG17" s="7" t="inlineStr">
        <is>
          <t>床面積の合計　（㎡）</t>
        </is>
      </c>
      <c r="DH17" s="8" t="inlineStr">
        <is>
          <t>工事費予定額（万円）</t>
        </is>
      </c>
      <c r="DI17" s="9" t="inlineStr">
        <is>
          <t>面積単価
（万円/㎡）</t>
        </is>
      </c>
      <c r="DJ17" s="10" t="inlineStr">
        <is>
          <t>面積単価
（万円/坪）</t>
        </is>
      </c>
      <c r="DK17" s="7" t="inlineStr">
        <is>
          <t>床面積の合計　（㎡）</t>
        </is>
      </c>
      <c r="DL17" s="8" t="inlineStr">
        <is>
          <t>工事費予定額（万円）</t>
        </is>
      </c>
      <c r="DM17" s="9" t="inlineStr">
        <is>
          <t>面積単価
（万円/㎡）</t>
        </is>
      </c>
      <c r="DN17" s="10" t="inlineStr">
        <is>
          <t>面積単価
（万円/坪）</t>
        </is>
      </c>
      <c r="DO17" s="7" t="inlineStr">
        <is>
          <t>床面積の合計　（㎡）</t>
        </is>
      </c>
      <c r="DP17" s="8" t="inlineStr">
        <is>
          <t>工事費予定額（万円）</t>
        </is>
      </c>
      <c r="DQ17" s="9" t="inlineStr">
        <is>
          <t>面積単価
（万円/㎡）</t>
        </is>
      </c>
      <c r="DR17" s="10" t="inlineStr">
        <is>
          <t>面積単価
（万円/坪）</t>
        </is>
      </c>
      <c r="DS17" s="7" t="inlineStr">
        <is>
          <t>床面積の合計　（㎡）</t>
        </is>
      </c>
      <c r="DT17" s="8" t="inlineStr">
        <is>
          <t>工事費予定額（万円）</t>
        </is>
      </c>
      <c r="DU17" s="9" t="inlineStr">
        <is>
          <t>面積単価
（万円/㎡）</t>
        </is>
      </c>
      <c r="DV17" s="10" t="inlineStr">
        <is>
          <t>面積単価
（万円/坪）</t>
        </is>
      </c>
      <c r="DW17" s="7" t="inlineStr">
        <is>
          <t>床面積の合計　（㎡）</t>
        </is>
      </c>
      <c r="DX17" s="8" t="inlineStr">
        <is>
          <t>工事費予定額（万円）</t>
        </is>
      </c>
      <c r="DY17" s="9" t="inlineStr">
        <is>
          <t>面積単価
（万円/㎡）</t>
        </is>
      </c>
      <c r="DZ17" s="10" t="inlineStr">
        <is>
          <t>面積単価
（万円/坪）</t>
        </is>
      </c>
      <c r="EA17" s="7" t="inlineStr">
        <is>
          <t>床面積の合計　（㎡）</t>
        </is>
      </c>
      <c r="EB17" s="8" t="inlineStr">
        <is>
          <t>工事費予定額（万円）</t>
        </is>
      </c>
      <c r="EC17" s="9" t="inlineStr">
        <is>
          <t>面積単価
（万円/㎡）</t>
        </is>
      </c>
      <c r="ED17" s="10" t="inlineStr">
        <is>
          <t>面積単価
（万円/坪）</t>
        </is>
      </c>
      <c r="EE17" s="7" t="inlineStr">
        <is>
          <t>床面積の合計　（㎡）</t>
        </is>
      </c>
      <c r="EF17" s="8" t="inlineStr">
        <is>
          <t>工事費予定額（万円）</t>
        </is>
      </c>
      <c r="EG17" s="9" t="inlineStr">
        <is>
          <t>面積単価
（万円/㎡）</t>
        </is>
      </c>
      <c r="EH17" s="10" t="inlineStr">
        <is>
          <t>面積単価
（万円/坪）</t>
        </is>
      </c>
      <c r="EI17" s="7" t="inlineStr">
        <is>
          <t>床面積の合計　（㎡）</t>
        </is>
      </c>
      <c r="EJ17" s="8" t="inlineStr">
        <is>
          <t>工事費予定額（万円）</t>
        </is>
      </c>
      <c r="EK17" s="9" t="inlineStr">
        <is>
          <t>面積単価
（万円/㎡）</t>
        </is>
      </c>
      <c r="EL17" s="10" t="inlineStr">
        <is>
          <t>面積単価
（万円/坪）</t>
        </is>
      </c>
      <c r="EM17" s="7" t="inlineStr">
        <is>
          <t>床面積の合計　（㎡）</t>
        </is>
      </c>
      <c r="EN17" s="8" t="inlineStr">
        <is>
          <t>工事費予定額（万円）</t>
        </is>
      </c>
      <c r="EO17" s="9" t="inlineStr">
        <is>
          <t>面積単価
（万円/㎡）</t>
        </is>
      </c>
      <c r="EP17" s="10" t="inlineStr">
        <is>
          <t>面積単価
（万円/坪）</t>
        </is>
      </c>
      <c r="EQ17" s="7" t="inlineStr">
        <is>
          <t>床面積の合計　（㎡）</t>
        </is>
      </c>
      <c r="ER17" s="8" t="inlineStr">
        <is>
          <t>工事費予定額（万円）</t>
        </is>
      </c>
      <c r="ES17" s="9" t="inlineStr">
        <is>
          <t>面積単価
（万円/㎡）</t>
        </is>
      </c>
      <c r="ET17" s="10" t="inlineStr">
        <is>
          <t>面積単価
（万円/坪）</t>
        </is>
      </c>
      <c r="EU17" s="7" t="inlineStr">
        <is>
          <t>床面積の合計　（㎡）</t>
        </is>
      </c>
      <c r="EV17" s="8" t="inlineStr">
        <is>
          <t>工事費予定額（万円）</t>
        </is>
      </c>
      <c r="EW17" s="9" t="inlineStr">
        <is>
          <t>面積単価
（万円/㎡）</t>
        </is>
      </c>
      <c r="EX17" s="10" t="inlineStr">
        <is>
          <t>面積単価
（万円/坪）</t>
        </is>
      </c>
      <c r="EY17" s="7" t="inlineStr">
        <is>
          <t>床面積の合計　（㎡）</t>
        </is>
      </c>
      <c r="EZ17" s="8" t="inlineStr">
        <is>
          <t>工事費予定額（万円）</t>
        </is>
      </c>
      <c r="FA17" s="9" t="inlineStr">
        <is>
          <t>面積単価
（万円/㎡）</t>
        </is>
      </c>
      <c r="FB17" s="10" t="inlineStr">
        <is>
          <t>面積単価
（万円/坪）</t>
        </is>
      </c>
      <c r="FC17" s="7" t="inlineStr">
        <is>
          <t>床面積の合計　（㎡）</t>
        </is>
      </c>
      <c r="FD17" s="8" t="inlineStr">
        <is>
          <t>工事費予定額（万円）</t>
        </is>
      </c>
      <c r="FE17" s="9" t="inlineStr">
        <is>
          <t>面積単価
（万円/㎡）</t>
        </is>
      </c>
      <c r="FF17" s="10" t="inlineStr">
        <is>
          <t>面積単価
（万円/坪）</t>
        </is>
      </c>
      <c r="FG17" s="7" t="inlineStr">
        <is>
          <t>床面積の合計　（㎡）</t>
        </is>
      </c>
      <c r="FH17" s="8" t="inlineStr">
        <is>
          <t>工事費予定額（万円）</t>
        </is>
      </c>
      <c r="FI17" s="9" t="inlineStr">
        <is>
          <t>面積単価
（万円/㎡）</t>
        </is>
      </c>
      <c r="FJ17" s="10" t="inlineStr">
        <is>
          <t>面積単価
（万円/坪）</t>
        </is>
      </c>
      <c r="FK17" s="7" t="inlineStr">
        <is>
          <t>床面積の合計　（㎡）</t>
        </is>
      </c>
      <c r="FL17" s="8" t="inlineStr">
        <is>
          <t>工事費予定額（万円）</t>
        </is>
      </c>
      <c r="FM17" s="9" t="inlineStr">
        <is>
          <t>面積単価
（万円/㎡）</t>
        </is>
      </c>
      <c r="FN17" s="10" t="inlineStr">
        <is>
          <t>面積単価
（万円/坪）</t>
        </is>
      </c>
      <c r="FO17" s="7" t="inlineStr">
        <is>
          <t>床面積の合計　（㎡）</t>
        </is>
      </c>
      <c r="FP17" s="8" t="inlineStr">
        <is>
          <t>工事費予定額（万円）</t>
        </is>
      </c>
      <c r="FQ17" s="9" t="inlineStr">
        <is>
          <t>面積単価
（万円/㎡）</t>
        </is>
      </c>
      <c r="FR17" s="10" t="inlineStr">
        <is>
          <t>面積単価
（万円/坪）</t>
        </is>
      </c>
      <c r="FS17" s="7" t="inlineStr">
        <is>
          <t>床面積の合計　（㎡）</t>
        </is>
      </c>
      <c r="FT17" s="8" t="inlineStr">
        <is>
          <t>工事費予定額（万円）</t>
        </is>
      </c>
      <c r="FU17" s="9" t="inlineStr">
        <is>
          <t>面積単価
（万円/㎡）</t>
        </is>
      </c>
      <c r="FV17" s="10" t="inlineStr">
        <is>
          <t>面積単価
（万円/坪）</t>
        </is>
      </c>
      <c r="FW17" s="7" t="inlineStr">
        <is>
          <t>床面積の合計　（㎡）</t>
        </is>
      </c>
      <c r="FX17" s="8" t="inlineStr">
        <is>
          <t>工事費予定額（万円）</t>
        </is>
      </c>
      <c r="FY17" s="9" t="inlineStr">
        <is>
          <t>面積単価
（万円/㎡）</t>
        </is>
      </c>
      <c r="FZ17" s="10" t="inlineStr">
        <is>
          <t>面積単価
（万円/坪）</t>
        </is>
      </c>
      <c r="GA17" s="7" t="inlineStr">
        <is>
          <t>床面積の合計　（㎡）</t>
        </is>
      </c>
      <c r="GB17" s="8" t="inlineStr">
        <is>
          <t>工事費予定額（万円）</t>
        </is>
      </c>
      <c r="GC17" s="9" t="inlineStr">
        <is>
          <t>面積単価
（万円/㎡）</t>
        </is>
      </c>
      <c r="GD17" s="10" t="inlineStr">
        <is>
          <t>面積単価
（万円/坪）</t>
        </is>
      </c>
      <c r="GE17" s="7" t="inlineStr">
        <is>
          <t>床面積の合計　（㎡）</t>
        </is>
      </c>
      <c r="GF17" s="8" t="inlineStr">
        <is>
          <t>工事費予定額（万円）</t>
        </is>
      </c>
      <c r="GG17" s="9" t="inlineStr">
        <is>
          <t>面積単価
（万円/㎡）</t>
        </is>
      </c>
      <c r="GH17" s="10" t="inlineStr">
        <is>
          <t>面積単価
（万円/坪）</t>
        </is>
      </c>
      <c r="GI17" s="7" t="inlineStr">
        <is>
          <t>床面積の合計　（㎡）</t>
        </is>
      </c>
      <c r="GJ17" s="8" t="inlineStr">
        <is>
          <t>工事費予定額（万円）</t>
        </is>
      </c>
      <c r="GK17" s="9" t="inlineStr">
        <is>
          <t>面積単価
（万円/㎡）</t>
        </is>
      </c>
      <c r="GL17" s="10" t="inlineStr">
        <is>
          <t>面積単価
（万円/坪）</t>
        </is>
      </c>
    </row>
    <row r="18">
      <c r="B18" s="2" t="inlineStr">
        <is>
          <t>全体</t>
        </is>
      </c>
      <c r="C18" s="11" t="n">
        <v>1103222</v>
      </c>
      <c r="D18" s="31" t="n">
        <v>19509216</v>
      </c>
      <c r="E18" s="40">
        <f>D18/C18</f>
        <v/>
      </c>
      <c r="F18" s="41">
        <f>E18*3.30578512</f>
        <v/>
      </c>
      <c r="G18" s="11" t="n">
        <v>159225</v>
      </c>
      <c r="H18" s="31" t="n">
        <v>5993976</v>
      </c>
      <c r="I18" s="40">
        <f>H18/G18</f>
        <v/>
      </c>
      <c r="J18" s="41">
        <f>I18*3.30578512</f>
        <v/>
      </c>
      <c r="K18" s="11" t="n">
        <v>75673</v>
      </c>
      <c r="L18" s="31" t="n">
        <v>1420880</v>
      </c>
      <c r="M18" s="40">
        <f>L18/K18</f>
        <v/>
      </c>
      <c r="N18" s="41">
        <f>M18*3.30578512</f>
        <v/>
      </c>
      <c r="O18" s="11" t="n">
        <v>41719</v>
      </c>
      <c r="P18" s="31" t="n">
        <v>1258500</v>
      </c>
      <c r="Q18" s="40">
        <f>P18/O18</f>
        <v/>
      </c>
      <c r="R18" s="41">
        <f>Q18*3.30578512</f>
        <v/>
      </c>
      <c r="S18" s="11" t="n">
        <v>36580</v>
      </c>
      <c r="T18" s="31" t="n">
        <v>711484</v>
      </c>
      <c r="U18" s="40">
        <f>T18/S18</f>
        <v/>
      </c>
      <c r="V18" s="41">
        <f>U18*3.30578512</f>
        <v/>
      </c>
      <c r="W18" s="11" t="n">
        <v>107748</v>
      </c>
      <c r="X18" s="31" t="n">
        <v>2528819</v>
      </c>
      <c r="Y18" s="40">
        <f>X18/W18</f>
        <v/>
      </c>
      <c r="Z18" s="41">
        <f>Y18*3.30578512</f>
        <v/>
      </c>
      <c r="AA18" s="11" t="n">
        <v>102739</v>
      </c>
      <c r="AB18" s="31" t="n">
        <v>3257069</v>
      </c>
      <c r="AC18" s="40">
        <f>AB18/AA18</f>
        <v/>
      </c>
      <c r="AD18" s="41">
        <f>AC18*3.30578512</f>
        <v/>
      </c>
      <c r="AE18" s="11" t="n">
        <v>466219</v>
      </c>
      <c r="AF18" s="31" t="n">
        <v>22831606</v>
      </c>
      <c r="AG18" s="40">
        <f>AF18/AE18</f>
        <v/>
      </c>
      <c r="AH18" s="41">
        <f>AG18*3.30578512</f>
        <v/>
      </c>
      <c r="AI18" s="11" t="n">
        <v>60919</v>
      </c>
      <c r="AJ18" s="31" t="n">
        <v>1858333</v>
      </c>
      <c r="AK18" s="40">
        <f>AJ18/AI18</f>
        <v/>
      </c>
      <c r="AL18" s="41">
        <f>AK18*3.30578512</f>
        <v/>
      </c>
      <c r="AM18" s="11" t="n">
        <v>122998</v>
      </c>
      <c r="AN18" s="31" t="n">
        <v>2556975</v>
      </c>
      <c r="AO18" s="40">
        <f>AN18/AM18</f>
        <v/>
      </c>
      <c r="AP18" s="41">
        <f>AO18*3.30578512</f>
        <v/>
      </c>
      <c r="AQ18" s="11" t="n">
        <v>51633</v>
      </c>
      <c r="AR18" s="31" t="n">
        <v>1309923</v>
      </c>
      <c r="AS18" s="40">
        <f>AR18/AQ18</f>
        <v/>
      </c>
      <c r="AT18" s="41">
        <f>AS18*3.30578512</f>
        <v/>
      </c>
      <c r="AU18" s="11" t="n">
        <v>143935</v>
      </c>
      <c r="AV18" s="31" t="n">
        <v>5404134</v>
      </c>
      <c r="AW18" s="40">
        <f>AV18/AU18</f>
        <v/>
      </c>
      <c r="AX18" s="41">
        <f>AW18*3.30578512</f>
        <v/>
      </c>
      <c r="AY18" s="11" t="n">
        <v>39881</v>
      </c>
      <c r="AZ18" s="31" t="n">
        <v>1205900</v>
      </c>
      <c r="BA18" s="40">
        <f>AZ18/AY18</f>
        <v/>
      </c>
      <c r="BB18" s="41">
        <f>BA18*3.30578512</f>
        <v/>
      </c>
      <c r="BC18" s="11" t="n">
        <v>143379</v>
      </c>
      <c r="BD18" s="31" t="n">
        <v>3659626</v>
      </c>
      <c r="BE18" s="40">
        <f>BD18/BC18</f>
        <v/>
      </c>
      <c r="BF18" s="41">
        <f>BE18*3.30578512</f>
        <v/>
      </c>
      <c r="BG18" s="11" t="n">
        <v>98141</v>
      </c>
      <c r="BH18" s="31" t="n">
        <v>6161740</v>
      </c>
      <c r="BI18" s="40">
        <f>BH18/BG18</f>
        <v/>
      </c>
      <c r="BJ18" s="41">
        <f>BI18*3.30578512</f>
        <v/>
      </c>
      <c r="BK18" s="11" t="n">
        <v>63717</v>
      </c>
      <c r="BL18" s="31" t="n">
        <v>1194731</v>
      </c>
      <c r="BM18" s="40">
        <f>BL18/BK18</f>
        <v/>
      </c>
      <c r="BN18" s="41">
        <f>BM18*3.30578512</f>
        <v/>
      </c>
      <c r="BO18" s="11" t="n">
        <v>109508</v>
      </c>
      <c r="BP18" s="31" t="n">
        <v>3975640</v>
      </c>
      <c r="BQ18" s="40">
        <f>BP18/BO18</f>
        <v/>
      </c>
      <c r="BR18" s="41">
        <f>BQ18*3.30578512</f>
        <v/>
      </c>
      <c r="BS18" s="11" t="n">
        <v>22215</v>
      </c>
      <c r="BT18" s="31" t="n">
        <v>576600</v>
      </c>
      <c r="BU18" s="40">
        <f>BT18/BS18</f>
        <v/>
      </c>
      <c r="BV18" s="41">
        <f>BU18*3.30578512</f>
        <v/>
      </c>
      <c r="BW18" s="11" t="n">
        <v>120167</v>
      </c>
      <c r="BX18" s="31" t="n">
        <v>5057849</v>
      </c>
      <c r="BY18" s="40">
        <f>BX18/BW18</f>
        <v/>
      </c>
      <c r="BZ18" s="41">
        <f>BY18*3.30578512</f>
        <v/>
      </c>
      <c r="CA18" s="11" t="n">
        <v>100204</v>
      </c>
      <c r="CB18" s="31" t="n">
        <v>4395390</v>
      </c>
      <c r="CC18" s="40">
        <f>CB18/CA18</f>
        <v/>
      </c>
      <c r="CD18" s="41">
        <f>CC18*3.30578512</f>
        <v/>
      </c>
      <c r="CE18" s="11" t="n">
        <v>44090</v>
      </c>
      <c r="CF18" s="31" t="n">
        <v>1815671</v>
      </c>
      <c r="CG18" s="40">
        <f>CF18/CE18</f>
        <v/>
      </c>
      <c r="CH18" s="41">
        <f>CG18*3.30578512</f>
        <v/>
      </c>
      <c r="CI18" s="11" t="n">
        <v>40642</v>
      </c>
      <c r="CJ18" s="31" t="n">
        <v>1627548</v>
      </c>
      <c r="CK18" s="40">
        <f>CJ18/CI18</f>
        <v/>
      </c>
      <c r="CL18" s="41">
        <f>CK18*3.30578512</f>
        <v/>
      </c>
      <c r="CM18" s="11" t="n">
        <v>156857</v>
      </c>
      <c r="CN18" s="31" t="n">
        <v>5989746</v>
      </c>
      <c r="CO18" s="40">
        <f>CN18/CM18</f>
        <v/>
      </c>
      <c r="CP18" s="41">
        <f>CO18*3.30578512</f>
        <v/>
      </c>
      <c r="CQ18" s="11" t="n">
        <v>129724</v>
      </c>
      <c r="CR18" s="31" t="n">
        <v>4570680</v>
      </c>
      <c r="CS18" s="40">
        <f>CR18/CQ18</f>
        <v/>
      </c>
      <c r="CT18" s="41">
        <f>CS18*3.30578512</f>
        <v/>
      </c>
      <c r="CU18" s="11" t="n">
        <v>69386</v>
      </c>
      <c r="CV18" s="31" t="n">
        <v>3711854</v>
      </c>
      <c r="CW18" s="40">
        <f>CV18/CU18</f>
        <v/>
      </c>
      <c r="CX18" s="41">
        <f>CW18*3.30578512</f>
        <v/>
      </c>
      <c r="CY18" s="11" t="n">
        <v>453605</v>
      </c>
      <c r="CZ18" s="31" t="n">
        <v>17408583</v>
      </c>
      <c r="DA18" s="40">
        <f>CZ18/CY18</f>
        <v/>
      </c>
      <c r="DB18" s="41">
        <f>DA18*3.30578512</f>
        <v/>
      </c>
      <c r="DC18" s="11" t="n">
        <v>70556</v>
      </c>
      <c r="DD18" s="31" t="n">
        <v>3013703</v>
      </c>
      <c r="DE18" s="40">
        <f>DD18/DC18</f>
        <v/>
      </c>
      <c r="DF18" s="41">
        <f>DE18*3.30578512</f>
        <v/>
      </c>
      <c r="DG18" s="11" t="n">
        <v>332838</v>
      </c>
      <c r="DH18" s="31" t="n">
        <v>15401400</v>
      </c>
      <c r="DI18" s="40">
        <f>DH18/DG18</f>
        <v/>
      </c>
      <c r="DJ18" s="41">
        <f>DI18*3.30578512</f>
        <v/>
      </c>
      <c r="DK18" s="11" t="n">
        <v>236995</v>
      </c>
      <c r="DL18" s="31" t="n">
        <v>14028450</v>
      </c>
      <c r="DM18" s="40">
        <f>DL18/DK18</f>
        <v/>
      </c>
      <c r="DN18" s="41">
        <f>DM18*3.30578512</f>
        <v/>
      </c>
      <c r="DO18" s="11" t="n">
        <v>108920</v>
      </c>
      <c r="DP18" s="31" t="n">
        <v>2562775</v>
      </c>
      <c r="DQ18" s="40">
        <f>DP18/DO18</f>
        <v/>
      </c>
      <c r="DR18" s="41">
        <f>DQ18*3.30578512</f>
        <v/>
      </c>
      <c r="DS18" s="11" t="n">
        <v>55373</v>
      </c>
      <c r="DT18" s="31" t="n">
        <v>2008887</v>
      </c>
      <c r="DU18" s="40">
        <f>DT18/DS18</f>
        <v/>
      </c>
      <c r="DV18" s="41">
        <f>DU18*3.30578512</f>
        <v/>
      </c>
      <c r="DW18" s="11" t="n">
        <v>523788</v>
      </c>
      <c r="DX18" s="31" t="n">
        <v>19125330</v>
      </c>
      <c r="DY18" s="40">
        <f>DX18/DW18</f>
        <v/>
      </c>
      <c r="DZ18" s="41">
        <f>DY18*3.30578512</f>
        <v/>
      </c>
      <c r="EA18" s="11" t="n">
        <v>126018</v>
      </c>
      <c r="EB18" s="31" t="n">
        <v>10329075</v>
      </c>
      <c r="EC18" s="40">
        <f>EB18/EA18</f>
        <v/>
      </c>
      <c r="ED18" s="41">
        <f>EC18*3.30578512</f>
        <v/>
      </c>
      <c r="EE18" s="11" t="n">
        <v>56886</v>
      </c>
      <c r="EF18" s="31" t="n">
        <v>2276608</v>
      </c>
      <c r="EG18" s="40">
        <f>EF18/EE18</f>
        <v/>
      </c>
      <c r="EH18" s="41">
        <f>EG18*3.30578512</f>
        <v/>
      </c>
      <c r="EI18" s="11" t="n">
        <v>89961</v>
      </c>
      <c r="EJ18" s="31" t="n">
        <v>3861400</v>
      </c>
      <c r="EK18" s="40">
        <f>EJ18/EI18</f>
        <v/>
      </c>
      <c r="EL18" s="41">
        <f>EK18*3.30578512</f>
        <v/>
      </c>
      <c r="EM18" s="11" t="n">
        <v>262130</v>
      </c>
      <c r="EN18" s="31" t="n">
        <v>5048134</v>
      </c>
      <c r="EO18" s="40">
        <f>EN18/EM18</f>
        <v/>
      </c>
      <c r="EP18" s="41">
        <f>EO18*3.30578512</f>
        <v/>
      </c>
      <c r="EQ18" s="11" t="n">
        <v>91150</v>
      </c>
      <c r="ER18" s="31" t="n">
        <v>2552985</v>
      </c>
      <c r="ES18" s="40">
        <f>ER18/EQ18</f>
        <v/>
      </c>
      <c r="ET18" s="41">
        <f>ES18*3.30578512</f>
        <v/>
      </c>
      <c r="EU18" s="11" t="n">
        <v>126520</v>
      </c>
      <c r="EV18" s="31" t="n">
        <v>4244079</v>
      </c>
      <c r="EW18" s="40">
        <f>EV18/EU18</f>
        <v/>
      </c>
      <c r="EX18" s="41">
        <f>EW18*3.30578512</f>
        <v/>
      </c>
      <c r="EY18" s="11" t="n">
        <v>116427</v>
      </c>
      <c r="EZ18" s="31" t="n">
        <v>7631509</v>
      </c>
      <c r="FA18" s="40">
        <f>EZ18/EY18</f>
        <v/>
      </c>
      <c r="FB18" s="41">
        <f>FA18*3.30578512</f>
        <v/>
      </c>
      <c r="FC18" s="11" t="n">
        <v>512631</v>
      </c>
      <c r="FD18" s="31" t="n">
        <v>33631871</v>
      </c>
      <c r="FE18" s="40">
        <f>FD18/FC18</f>
        <v/>
      </c>
      <c r="FF18" s="41">
        <f>FE18*3.30578512</f>
        <v/>
      </c>
      <c r="FG18" s="11" t="n">
        <v>981465</v>
      </c>
      <c r="FH18" s="31" t="n">
        <v>74897323</v>
      </c>
      <c r="FI18" s="40">
        <f>FH18/FG18</f>
        <v/>
      </c>
      <c r="FJ18" s="41">
        <f>FI18*3.30578512</f>
        <v/>
      </c>
      <c r="FK18" s="11" t="n">
        <v>421367</v>
      </c>
      <c r="FL18" s="31" t="n">
        <v>19018430</v>
      </c>
      <c r="FM18" s="40">
        <f>FL18/FK18</f>
        <v/>
      </c>
      <c r="FN18" s="41">
        <f>FM18*3.30578512</f>
        <v/>
      </c>
      <c r="FO18" s="11" t="n">
        <v>324000</v>
      </c>
      <c r="FP18" s="31" t="n">
        <v>13701446</v>
      </c>
      <c r="FQ18" s="40">
        <f>FP18/FO18</f>
        <v/>
      </c>
      <c r="FR18" s="41">
        <f>FQ18*3.30578512</f>
        <v/>
      </c>
      <c r="FS18" s="11" t="n">
        <v>265842</v>
      </c>
      <c r="FT18" s="31" t="n">
        <v>9772874</v>
      </c>
      <c r="FU18" s="40">
        <f>FT18/FS18</f>
        <v/>
      </c>
      <c r="FV18" s="41">
        <f>FU18*3.30578512</f>
        <v/>
      </c>
      <c r="FW18" s="11" t="n">
        <v>258130</v>
      </c>
      <c r="FX18" s="31" t="n">
        <v>14909790</v>
      </c>
      <c r="FY18" s="40">
        <f>FX18/FW18</f>
        <v/>
      </c>
      <c r="FZ18" s="41">
        <f>FY18*3.30578512</f>
        <v/>
      </c>
      <c r="GA18" s="11" t="n">
        <v>734078</v>
      </c>
      <c r="GB18" s="31" t="n">
        <v>38824049</v>
      </c>
      <c r="GC18" s="40">
        <f>GB18/GA18</f>
        <v/>
      </c>
      <c r="GD18" s="41">
        <f>GC18*3.30578512</f>
        <v/>
      </c>
      <c r="GE18" s="11" t="n">
        <v>274612</v>
      </c>
      <c r="GF18" s="31" t="n">
        <v>10789496</v>
      </c>
      <c r="GG18" s="40">
        <f>GF18/GE18</f>
        <v/>
      </c>
      <c r="GH18" s="41">
        <f>GG18*3.30578512</f>
        <v/>
      </c>
      <c r="GI18" s="11" t="n">
        <v>197908</v>
      </c>
      <c r="GJ18" s="31" t="n">
        <v>8660604</v>
      </c>
      <c r="GK18" s="40">
        <f>GJ18/GI18</f>
        <v/>
      </c>
      <c r="GL18" s="41">
        <f>GK18*3.30578512</f>
        <v/>
      </c>
    </row>
    <row r="19">
      <c r="B19" s="2" t="inlineStr">
        <is>
          <t>事務所</t>
        </is>
      </c>
      <c r="C19" s="11" t="n">
        <v>498519</v>
      </c>
      <c r="D19" s="31" t="n">
        <v>9638971</v>
      </c>
      <c r="E19" s="40">
        <f>D19/C19</f>
        <v/>
      </c>
      <c r="F19" s="41">
        <f>E19*3.30578512</f>
        <v/>
      </c>
      <c r="G19" s="11" t="n">
        <v>80650</v>
      </c>
      <c r="H19" s="31" t="n">
        <v>3313000</v>
      </c>
      <c r="I19" s="40">
        <f>H19/G19</f>
        <v/>
      </c>
      <c r="J19" s="41">
        <f>I19*3.30578512</f>
        <v/>
      </c>
      <c r="K19" s="11" t="n">
        <v>4639</v>
      </c>
      <c r="L19" s="31" t="n">
        <v>122000</v>
      </c>
      <c r="M19" s="40">
        <f>L19/K19</f>
        <v/>
      </c>
      <c r="N19" s="41">
        <f>M19*3.30578512</f>
        <v/>
      </c>
      <c r="O19" s="11" t="n">
        <v>15483</v>
      </c>
      <c r="P19" s="31" t="n">
        <v>580450</v>
      </c>
      <c r="Q19" s="40">
        <f>P19/O19</f>
        <v/>
      </c>
      <c r="R19" s="41">
        <f>Q19*3.30578512</f>
        <v/>
      </c>
      <c r="S19" s="11" t="n">
        <v>1714</v>
      </c>
      <c r="T19" s="31" t="n">
        <v>35400</v>
      </c>
      <c r="U19" s="40">
        <f>T19/S19</f>
        <v/>
      </c>
      <c r="V19" s="41">
        <f>U19*3.30578512</f>
        <v/>
      </c>
      <c r="W19" s="11" t="n">
        <v>24514</v>
      </c>
      <c r="X19" s="31" t="n">
        <v>969760</v>
      </c>
      <c r="Y19" s="40">
        <f>X19/W19</f>
        <v/>
      </c>
      <c r="Z19" s="41">
        <f>Y19*3.30578512</f>
        <v/>
      </c>
      <c r="AA19" s="11" t="n">
        <v>44780</v>
      </c>
      <c r="AB19" s="31" t="n">
        <v>1883437</v>
      </c>
      <c r="AC19" s="40">
        <f>AB19/AA19</f>
        <v/>
      </c>
      <c r="AD19" s="41">
        <f>AC19*3.30578512</f>
        <v/>
      </c>
      <c r="AE19" s="11" t="n">
        <v>234789</v>
      </c>
      <c r="AF19" s="31" t="n">
        <v>13363500</v>
      </c>
      <c r="AG19" s="40">
        <f>AF19/AE19</f>
        <v/>
      </c>
      <c r="AH19" s="41">
        <f>AG19*3.30578512</f>
        <v/>
      </c>
      <c r="AI19" s="11" t="n">
        <v>2280</v>
      </c>
      <c r="AJ19" s="31" t="n">
        <v>75000</v>
      </c>
      <c r="AK19" s="40">
        <f>AJ19/AI19</f>
        <v/>
      </c>
      <c r="AL19" s="41">
        <f>AK19*3.30578512</f>
        <v/>
      </c>
      <c r="AM19" s="11" t="n">
        <v>5892</v>
      </c>
      <c r="AN19" s="31" t="n">
        <v>327700</v>
      </c>
      <c r="AO19" s="40">
        <f>AN19/AM19</f>
        <v/>
      </c>
      <c r="AP19" s="41">
        <f>AO19*3.30578512</f>
        <v/>
      </c>
      <c r="AQ19" s="11" t="n">
        <v>797</v>
      </c>
      <c r="AR19" s="31" t="n">
        <v>20184</v>
      </c>
      <c r="AS19" s="40">
        <f>AR19/AQ19</f>
        <v/>
      </c>
      <c r="AT19" s="41">
        <f>AS19*3.30578512</f>
        <v/>
      </c>
      <c r="AU19" s="11" t="n">
        <v>29687</v>
      </c>
      <c r="AV19" s="31" t="n">
        <v>1023892</v>
      </c>
      <c r="AW19" s="40">
        <f>AV19/AU19</f>
        <v/>
      </c>
      <c r="AX19" s="41">
        <f>AW19*3.30578512</f>
        <v/>
      </c>
      <c r="AY19" s="11" t="n">
        <v>915</v>
      </c>
      <c r="AZ19" s="31" t="n">
        <v>24200</v>
      </c>
      <c r="BA19" s="40">
        <f>AZ19/AY19</f>
        <v/>
      </c>
      <c r="BB19" s="41">
        <f>BA19*3.30578512</f>
        <v/>
      </c>
      <c r="BC19" s="11" t="n">
        <v>46977</v>
      </c>
      <c r="BD19" s="31" t="n">
        <v>1820500</v>
      </c>
      <c r="BE19" s="40">
        <f>BD19/BC19</f>
        <v/>
      </c>
      <c r="BF19" s="41">
        <f>BE19*3.30578512</f>
        <v/>
      </c>
      <c r="BG19" s="11" t="n">
        <v>22073</v>
      </c>
      <c r="BH19" s="31" t="n">
        <v>1270000</v>
      </c>
      <c r="BI19" s="40">
        <f>BH19/BG19</f>
        <v/>
      </c>
      <c r="BJ19" s="41">
        <f>BI19*3.30578512</f>
        <v/>
      </c>
      <c r="BK19" s="11" t="n">
        <v>9274</v>
      </c>
      <c r="BL19" s="31" t="n">
        <v>397100</v>
      </c>
      <c r="BM19" s="40">
        <f>BL19/BK19</f>
        <v/>
      </c>
      <c r="BN19" s="41">
        <f>BM19*3.30578512</f>
        <v/>
      </c>
      <c r="BO19" s="11" t="n">
        <v>63729</v>
      </c>
      <c r="BP19" s="31" t="n">
        <v>2824400</v>
      </c>
      <c r="BQ19" s="40">
        <f>BP19/BO19</f>
        <v/>
      </c>
      <c r="BR19" s="41">
        <f>BQ19*3.30578512</f>
        <v/>
      </c>
      <c r="BS19" s="11" t="n">
        <v>3286</v>
      </c>
      <c r="BT19" s="31" t="n">
        <v>111200</v>
      </c>
      <c r="BU19" s="40">
        <f>BT19/BS19</f>
        <v/>
      </c>
      <c r="BV19" s="41">
        <f>BU19*3.30578512</f>
        <v/>
      </c>
      <c r="BW19" s="11" t="n">
        <v>91302</v>
      </c>
      <c r="BX19" s="31" t="n">
        <v>4254000</v>
      </c>
      <c r="BY19" s="40">
        <f>BX19/BW19</f>
        <v/>
      </c>
      <c r="BZ19" s="41">
        <f>BY19*3.30578512</f>
        <v/>
      </c>
      <c r="CA19" s="11" t="n">
        <v>60478</v>
      </c>
      <c r="CB19" s="31" t="n">
        <v>3539990</v>
      </c>
      <c r="CC19" s="40">
        <f>CB19/CA19</f>
        <v/>
      </c>
      <c r="CD19" s="41">
        <f>CC19*3.30578512</f>
        <v/>
      </c>
      <c r="CE19" s="11" t="n">
        <v>4796</v>
      </c>
      <c r="CF19" s="31" t="n">
        <v>191500</v>
      </c>
      <c r="CG19" s="40">
        <f>CF19/CE19</f>
        <v/>
      </c>
      <c r="CH19" s="41">
        <f>CG19*3.30578512</f>
        <v/>
      </c>
      <c r="CI19" s="11" t="n">
        <v>21176</v>
      </c>
      <c r="CJ19" s="31" t="n">
        <v>1108400</v>
      </c>
      <c r="CK19" s="40">
        <f>CJ19/CI19</f>
        <v/>
      </c>
      <c r="CL19" s="41">
        <f>CK19*3.30578512</f>
        <v/>
      </c>
      <c r="CM19" s="11" t="n">
        <v>121848</v>
      </c>
      <c r="CN19" s="31" t="n">
        <v>5081595</v>
      </c>
      <c r="CO19" s="40">
        <f>CN19/CM19</f>
        <v/>
      </c>
      <c r="CP19" s="41">
        <f>CO19*3.30578512</f>
        <v/>
      </c>
      <c r="CQ19" s="11" t="n">
        <v>96242</v>
      </c>
      <c r="CR19" s="31" t="n">
        <v>3775665</v>
      </c>
      <c r="CS19" s="40">
        <f>CR19/CQ19</f>
        <v/>
      </c>
      <c r="CT19" s="41">
        <f>CS19*3.30578512</f>
        <v/>
      </c>
      <c r="CU19" s="11" t="n">
        <v>4155</v>
      </c>
      <c r="CV19" s="31" t="n">
        <v>149000</v>
      </c>
      <c r="CW19" s="40">
        <f>CV19/CU19</f>
        <v/>
      </c>
      <c r="CX19" s="41">
        <f>CW19*3.30578512</f>
        <v/>
      </c>
      <c r="CY19" s="11" t="n">
        <v>412702</v>
      </c>
      <c r="CZ19" s="31" t="n">
        <v>15230143</v>
      </c>
      <c r="DA19" s="40">
        <f>CZ19/CY19</f>
        <v/>
      </c>
      <c r="DB19" s="41">
        <f>DA19*3.30578512</f>
        <v/>
      </c>
      <c r="DC19" s="11" t="n">
        <v>31070</v>
      </c>
      <c r="DD19" s="31" t="n">
        <v>706393</v>
      </c>
      <c r="DE19" s="40">
        <f>DD19/DC19</f>
        <v/>
      </c>
      <c r="DF19" s="41">
        <f>DE19*3.30578512</f>
        <v/>
      </c>
      <c r="DG19" s="11" t="n">
        <v>305819</v>
      </c>
      <c r="DH19" s="31" t="n">
        <v>14492500</v>
      </c>
      <c r="DI19" s="40">
        <f>DH19/DG19</f>
        <v/>
      </c>
      <c r="DJ19" s="41">
        <f>DI19*3.30578512</f>
        <v/>
      </c>
      <c r="DK19" s="11" t="n">
        <v>736</v>
      </c>
      <c r="DL19" s="31" t="n">
        <v>25800</v>
      </c>
      <c r="DM19" s="40">
        <f>DL19/DK19</f>
        <v/>
      </c>
      <c r="DN19" s="41">
        <f>DM19*3.30578512</f>
        <v/>
      </c>
      <c r="DO19" s="11" t="n">
        <v>78458</v>
      </c>
      <c r="DP19" s="31" t="n">
        <v>1191275</v>
      </c>
      <c r="DQ19" s="40">
        <f>DP19/DO19</f>
        <v/>
      </c>
      <c r="DR19" s="41">
        <f>DQ19*3.30578512</f>
        <v/>
      </c>
      <c r="DS19" s="11" t="n">
        <v>15607</v>
      </c>
      <c r="DT19" s="31" t="n">
        <v>778000</v>
      </c>
      <c r="DU19" s="40">
        <f>DT19/DS19</f>
        <v/>
      </c>
      <c r="DV19" s="41">
        <f>DU19*3.30578512</f>
        <v/>
      </c>
      <c r="DW19" s="11" t="n">
        <v>398799</v>
      </c>
      <c r="DX19" s="31" t="n">
        <v>16427800</v>
      </c>
      <c r="DY19" s="40">
        <f>DX19/DW19</f>
        <v/>
      </c>
      <c r="DZ19" s="41">
        <f>DY19*3.30578512</f>
        <v/>
      </c>
      <c r="EA19" s="11" t="n">
        <v>2434</v>
      </c>
      <c r="EB19" s="31" t="n">
        <v>170000</v>
      </c>
      <c r="EC19" s="40">
        <f>EB19/EA19</f>
        <v/>
      </c>
      <c r="ED19" s="41">
        <f>EC19*3.30578512</f>
        <v/>
      </c>
      <c r="EE19" s="11" t="n">
        <v>11024</v>
      </c>
      <c r="EF19" s="31" t="n">
        <v>689900</v>
      </c>
      <c r="EG19" s="40">
        <f>EF19/EE19</f>
        <v/>
      </c>
      <c r="EH19" s="41">
        <f>EG19*3.30578512</f>
        <v/>
      </c>
      <c r="EI19" s="11" t="n">
        <v>32876</v>
      </c>
      <c r="EJ19" s="31" t="n">
        <v>1239800</v>
      </c>
      <c r="EK19" s="40">
        <f>EJ19/EI19</f>
        <v/>
      </c>
      <c r="EL19" s="41">
        <f>EK19*3.30578512</f>
        <v/>
      </c>
      <c r="EM19" s="11" t="n">
        <v>1569</v>
      </c>
      <c r="EN19" s="31" t="n">
        <v>88500</v>
      </c>
      <c r="EO19" s="40">
        <f>EN19/EM19</f>
        <v/>
      </c>
      <c r="EP19" s="41">
        <f>EO19*3.30578512</f>
        <v/>
      </c>
      <c r="EQ19" s="11" t="n">
        <v>12984</v>
      </c>
      <c r="ER19" s="31" t="n">
        <v>793800</v>
      </c>
      <c r="ES19" s="40">
        <f>ER19/EQ19</f>
        <v/>
      </c>
      <c r="ET19" s="41">
        <f>ES19*3.30578512</f>
        <v/>
      </c>
      <c r="EU19" s="11" t="n">
        <v>23484</v>
      </c>
      <c r="EV19" s="31" t="n">
        <v>926228.83504</v>
      </c>
      <c r="EW19" s="40">
        <f>EV19/EU19</f>
        <v/>
      </c>
      <c r="EX19" s="41">
        <f>EW19*3.30578512</f>
        <v/>
      </c>
      <c r="EY19" s="11" t="n">
        <v>10211</v>
      </c>
      <c r="EZ19" s="31" t="n">
        <v>538339.59343</v>
      </c>
      <c r="FA19" s="40">
        <f>EZ19/EY19</f>
        <v/>
      </c>
      <c r="FB19" s="41">
        <f>FA19*3.30578512</f>
        <v/>
      </c>
      <c r="FC19" s="11" t="n">
        <v>263207</v>
      </c>
      <c r="FD19" s="31" t="n">
        <v>18687952.45525</v>
      </c>
      <c r="FE19" s="40">
        <f>FD19/FC19</f>
        <v/>
      </c>
      <c r="FF19" s="41">
        <f>FE19*3.30578512</f>
        <v/>
      </c>
      <c r="FG19" s="11" t="n">
        <v>120803</v>
      </c>
      <c r="FH19" s="31" t="n">
        <v>7146627.28308</v>
      </c>
      <c r="FI19" s="40">
        <f>FH19/FG19</f>
        <v/>
      </c>
      <c r="FJ19" s="41">
        <f>FI19*3.30578512</f>
        <v/>
      </c>
      <c r="FK19" s="11" t="n">
        <v>83882</v>
      </c>
      <c r="FL19" s="31" t="n">
        <v>4607638.76847</v>
      </c>
      <c r="FM19" s="40">
        <f>FL19/FK19</f>
        <v/>
      </c>
      <c r="FN19" s="41">
        <f>FM19*3.30578512</f>
        <v/>
      </c>
      <c r="FO19" s="11" t="n">
        <v>59418</v>
      </c>
      <c r="FP19" s="31" t="n">
        <v>2871328.75438</v>
      </c>
      <c r="FQ19" s="40">
        <f>FP19/FO19</f>
        <v/>
      </c>
      <c r="FR19" s="41">
        <f>FQ19*3.30578512</f>
        <v/>
      </c>
      <c r="FS19" s="11" t="n">
        <v>66468</v>
      </c>
      <c r="FT19" s="31" t="n">
        <v>3447883.42608</v>
      </c>
      <c r="FU19" s="40">
        <f>FT19/FS19</f>
        <v/>
      </c>
      <c r="FV19" s="41">
        <f>FU19*3.30578512</f>
        <v/>
      </c>
      <c r="FW19" s="11" t="n">
        <v>57755</v>
      </c>
      <c r="FX19" s="31" t="n">
        <v>5069906.84627</v>
      </c>
      <c r="FY19" s="40">
        <f>FX19/FW19</f>
        <v/>
      </c>
      <c r="FZ19" s="41">
        <f>FY19*3.30578512</f>
        <v/>
      </c>
      <c r="GA19" s="35" t="n">
        <v>208895</v>
      </c>
      <c r="GB19" s="36" t="n">
        <v>16048052.1871</v>
      </c>
      <c r="GC19" s="40">
        <f>GB19/GA19</f>
        <v/>
      </c>
      <c r="GD19" s="41">
        <f>GC19*3.30578512</f>
        <v/>
      </c>
      <c r="GE19" s="35" t="n">
        <v>68750</v>
      </c>
      <c r="GF19" s="36" t="n">
        <v>3714905.34334</v>
      </c>
      <c r="GG19" s="40">
        <f>GF19/GE19</f>
        <v/>
      </c>
      <c r="GH19" s="41">
        <f>GG19*3.30578512</f>
        <v/>
      </c>
      <c r="GI19" s="35" t="n">
        <v>27803</v>
      </c>
      <c r="GJ19" s="36" t="n">
        <v>1217216</v>
      </c>
      <c r="GK19" s="40">
        <f>GJ19/GI19</f>
        <v/>
      </c>
      <c r="GL19" s="41">
        <f>GK19*3.30578512</f>
        <v/>
      </c>
    </row>
    <row r="20">
      <c r="B20" s="2" t="inlineStr">
        <is>
          <t>店舗</t>
        </is>
      </c>
      <c r="C20" s="11" t="n">
        <v>227898</v>
      </c>
      <c r="D20" s="31" t="n">
        <v>2802810</v>
      </c>
      <c r="E20" s="40">
        <f>D20/C20</f>
        <v/>
      </c>
      <c r="F20" s="41">
        <f>E20*3.30578512</f>
        <v/>
      </c>
      <c r="G20" s="11" t="n">
        <v>1427</v>
      </c>
      <c r="H20" s="31" t="n">
        <v>48000</v>
      </c>
      <c r="I20" s="40">
        <f>H20/G20</f>
        <v/>
      </c>
      <c r="J20" s="41">
        <f>I20*3.30578512</f>
        <v/>
      </c>
      <c r="K20" s="11" t="n">
        <v>5729</v>
      </c>
      <c r="L20" s="31" t="n">
        <v>129000</v>
      </c>
      <c r="M20" s="40">
        <f>L20/K20</f>
        <v/>
      </c>
      <c r="N20" s="41">
        <f>M20*3.30578512</f>
        <v/>
      </c>
      <c r="O20" s="11" t="n">
        <v>2607</v>
      </c>
      <c r="P20" s="31" t="n">
        <v>87800</v>
      </c>
      <c r="Q20" s="40">
        <f>P20/O20</f>
        <v/>
      </c>
      <c r="R20" s="41">
        <f>Q20*3.30578512</f>
        <v/>
      </c>
      <c r="S20" s="11" t="n">
        <v>10534</v>
      </c>
      <c r="T20" s="31" t="n">
        <v>270000</v>
      </c>
      <c r="U20" s="40">
        <f>T20/S20</f>
        <v/>
      </c>
      <c r="V20" s="41">
        <f>U20*3.30578512</f>
        <v/>
      </c>
      <c r="W20" s="11" t="n">
        <v>2176</v>
      </c>
      <c r="X20" s="31" t="n">
        <v>67000</v>
      </c>
      <c r="Y20" s="40">
        <f>X20/W20</f>
        <v/>
      </c>
      <c r="Z20" s="41">
        <f>Y20*3.30578512</f>
        <v/>
      </c>
      <c r="AA20" s="11" t="n">
        <v>14619</v>
      </c>
      <c r="AB20" s="31" t="n">
        <v>383000</v>
      </c>
      <c r="AC20" s="40">
        <f>AB20/AA20</f>
        <v/>
      </c>
      <c r="AD20" s="41">
        <f>AC20*3.30578512</f>
        <v/>
      </c>
      <c r="AE20" s="11" t="n">
        <v>9175</v>
      </c>
      <c r="AF20" s="31" t="n">
        <v>266000</v>
      </c>
      <c r="AG20" s="40">
        <f>AF20/AE20</f>
        <v/>
      </c>
      <c r="AH20" s="41">
        <f>AG20*3.30578512</f>
        <v/>
      </c>
      <c r="AI20" s="11" t="n">
        <v>23849</v>
      </c>
      <c r="AJ20" s="31" t="n">
        <v>269649</v>
      </c>
      <c r="AK20" s="40">
        <f>AJ20/AI20</f>
        <v/>
      </c>
      <c r="AL20" s="41">
        <f>AK20*3.30578512</f>
        <v/>
      </c>
      <c r="AM20" s="11" t="n">
        <v>15</v>
      </c>
      <c r="AN20" s="31" t="n">
        <v>600</v>
      </c>
      <c r="AO20" s="40">
        <f>AN20/AM20</f>
        <v/>
      </c>
      <c r="AP20" s="41">
        <f>AO20*3.30578512</f>
        <v/>
      </c>
      <c r="AQ20" s="11" t="n">
        <v>37199</v>
      </c>
      <c r="AR20" s="31" t="n">
        <v>852022</v>
      </c>
      <c r="AS20" s="40">
        <f>AR20/AQ20</f>
        <v/>
      </c>
      <c r="AT20" s="41">
        <f>AS20*3.30578512</f>
        <v/>
      </c>
      <c r="AU20" s="11" t="n">
        <v>15052</v>
      </c>
      <c r="AV20" s="31" t="n">
        <v>600480</v>
      </c>
      <c r="AW20" s="40">
        <f>AV20/AU20</f>
        <v/>
      </c>
      <c r="AX20" s="41">
        <f>AW20*3.30578512</f>
        <v/>
      </c>
      <c r="AY20" s="11" t="n">
        <v>3100</v>
      </c>
      <c r="AZ20" s="31" t="n">
        <v>123000</v>
      </c>
      <c r="BA20" s="40">
        <f>AZ20/AY20</f>
        <v/>
      </c>
      <c r="BB20" s="41">
        <f>BA20*3.30578512</f>
        <v/>
      </c>
      <c r="BC20" s="11" t="n">
        <v>17347</v>
      </c>
      <c r="BD20" s="31" t="n">
        <v>351914</v>
      </c>
      <c r="BE20" s="40">
        <f>BD20/BC20</f>
        <v/>
      </c>
      <c r="BF20" s="41">
        <f>BE20*3.30578512</f>
        <v/>
      </c>
      <c r="BG20" s="11" t="n">
        <v>50847</v>
      </c>
      <c r="BH20" s="31" t="n">
        <v>4401500</v>
      </c>
      <c r="BI20" s="40">
        <f>BH20/BG20</f>
        <v/>
      </c>
      <c r="BJ20" s="41">
        <f>BI20*3.30578512</f>
        <v/>
      </c>
      <c r="BK20" s="11" t="n">
        <v>21492</v>
      </c>
      <c r="BL20" s="31" t="n">
        <v>135500</v>
      </c>
      <c r="BM20" s="40">
        <f>BL20/BK20</f>
        <v/>
      </c>
      <c r="BN20" s="41">
        <f>BM20*3.30578512</f>
        <v/>
      </c>
      <c r="BO20" s="11" t="n">
        <v>3456</v>
      </c>
      <c r="BP20" s="31" t="n">
        <v>76500</v>
      </c>
      <c r="BQ20" s="40">
        <f>BP20/BO20</f>
        <v/>
      </c>
      <c r="BR20" s="41">
        <f>BQ20*3.30578512</f>
        <v/>
      </c>
      <c r="BS20" s="11" t="n">
        <v>3554</v>
      </c>
      <c r="BT20" s="31" t="n">
        <v>142200</v>
      </c>
      <c r="BU20" s="40">
        <f>BT20/BS20</f>
        <v/>
      </c>
      <c r="BV20" s="41">
        <f>BU20*3.30578512</f>
        <v/>
      </c>
      <c r="BW20" s="11" t="n">
        <v>9031</v>
      </c>
      <c r="BX20" s="31" t="n">
        <v>267647</v>
      </c>
      <c r="BY20" s="40">
        <f>BX20/BW20</f>
        <v/>
      </c>
      <c r="BZ20" s="41">
        <f>BY20*3.30578512</f>
        <v/>
      </c>
      <c r="CA20" s="11" t="n">
        <v>3516</v>
      </c>
      <c r="CB20" s="31" t="n">
        <v>103000</v>
      </c>
      <c r="CC20" s="40">
        <f>CB20/CA20</f>
        <v/>
      </c>
      <c r="CD20" s="41">
        <f>CC20*3.30578512</f>
        <v/>
      </c>
      <c r="CE20" s="11" t="n">
        <v>6243</v>
      </c>
      <c r="CF20" s="31" t="n">
        <v>164000</v>
      </c>
      <c r="CG20" s="40">
        <f>CF20/CE20</f>
        <v/>
      </c>
      <c r="CH20" s="41">
        <f>CG20*3.30578512</f>
        <v/>
      </c>
      <c r="CI20" s="11" t="n">
        <v>2193</v>
      </c>
      <c r="CJ20" s="31" t="n">
        <v>63500</v>
      </c>
      <c r="CK20" s="40">
        <f>CJ20/CI20</f>
        <v/>
      </c>
      <c r="CL20" s="41">
        <f>CK20*3.30578512</f>
        <v/>
      </c>
      <c r="CM20" s="11" t="n">
        <v>1686</v>
      </c>
      <c r="CN20" s="31" t="n">
        <v>15000</v>
      </c>
      <c r="CO20" s="40">
        <f>CN20/CM20</f>
        <v/>
      </c>
      <c r="CP20" s="41">
        <f>CO20*3.30578512</f>
        <v/>
      </c>
      <c r="CQ20" s="11" t="n">
        <v>3229</v>
      </c>
      <c r="CR20" s="31" t="n">
        <v>106500</v>
      </c>
      <c r="CS20" s="40">
        <f>CR20/CQ20</f>
        <v/>
      </c>
      <c r="CT20" s="41">
        <f>CS20*3.30578512</f>
        <v/>
      </c>
      <c r="CU20" s="11" t="n">
        <v>5603</v>
      </c>
      <c r="CV20" s="31" t="n">
        <v>336700</v>
      </c>
      <c r="CW20" s="40">
        <f>CV20/CU20</f>
        <v/>
      </c>
      <c r="CX20" s="41">
        <f>CW20*3.30578512</f>
        <v/>
      </c>
      <c r="CY20" s="11" t="n">
        <v>1251</v>
      </c>
      <c r="CZ20" s="31" t="n">
        <v>80000</v>
      </c>
      <c r="DA20" s="40">
        <f>CZ20/CY20</f>
        <v/>
      </c>
      <c r="DB20" s="41">
        <f>DA20*3.30578512</f>
        <v/>
      </c>
      <c r="DC20" s="11" t="n">
        <v>2524</v>
      </c>
      <c r="DD20" s="31" t="n">
        <v>84900</v>
      </c>
      <c r="DE20" s="40">
        <f>DD20/DC20</f>
        <v/>
      </c>
      <c r="DF20" s="41">
        <f>DE20*3.30578512</f>
        <v/>
      </c>
      <c r="DG20" s="11" t="n">
        <v>0</v>
      </c>
      <c r="DH20" s="31" t="n">
        <v>0</v>
      </c>
      <c r="DI20" s="40">
        <f>DH20/DG20</f>
        <v/>
      </c>
      <c r="DJ20" s="41">
        <f>DI20*3.30578512</f>
        <v/>
      </c>
      <c r="DK20" s="11" t="n">
        <v>109631</v>
      </c>
      <c r="DL20" s="31" t="n">
        <v>5518000</v>
      </c>
      <c r="DM20" s="40">
        <f>DL20/DK20</f>
        <v/>
      </c>
      <c r="DN20" s="41">
        <f>DM20*3.30578512</f>
        <v/>
      </c>
      <c r="DO20" s="11" t="n">
        <v>9397</v>
      </c>
      <c r="DP20" s="31" t="n">
        <v>378000</v>
      </c>
      <c r="DQ20" s="40">
        <f>DP20/DO20</f>
        <v/>
      </c>
      <c r="DR20" s="41">
        <f>DQ20*3.30578512</f>
        <v/>
      </c>
      <c r="DS20" s="11" t="n">
        <v>299</v>
      </c>
      <c r="DT20" s="31" t="n">
        <v>12000</v>
      </c>
      <c r="DU20" s="40">
        <f>DT20/DS20</f>
        <v/>
      </c>
      <c r="DV20" s="41">
        <f>DU20*3.30578512</f>
        <v/>
      </c>
      <c r="DW20" s="11" t="n">
        <v>3365</v>
      </c>
      <c r="DX20" s="31" t="n">
        <v>178500</v>
      </c>
      <c r="DY20" s="40">
        <f>DX20/DW20</f>
        <v/>
      </c>
      <c r="DZ20" s="41">
        <f>DY20*3.30578512</f>
        <v/>
      </c>
      <c r="EA20" s="11" t="n">
        <v>25997</v>
      </c>
      <c r="EB20" s="31" t="n">
        <v>684500</v>
      </c>
      <c r="EC20" s="40">
        <f>EB20/EA20</f>
        <v/>
      </c>
      <c r="ED20" s="41">
        <f>EC20*3.30578512</f>
        <v/>
      </c>
      <c r="EE20" s="11" t="n">
        <v>24936</v>
      </c>
      <c r="EF20" s="31" t="n">
        <v>803601</v>
      </c>
      <c r="EG20" s="40">
        <f>EF20/EE20</f>
        <v/>
      </c>
      <c r="EH20" s="41">
        <f>EG20*3.30578512</f>
        <v/>
      </c>
      <c r="EI20" s="11" t="n">
        <v>6754</v>
      </c>
      <c r="EJ20" s="31" t="n">
        <v>476000</v>
      </c>
      <c r="EK20" s="40">
        <f>EJ20/EI20</f>
        <v/>
      </c>
      <c r="EL20" s="41">
        <f>EK20*3.30578512</f>
        <v/>
      </c>
      <c r="EM20" s="11" t="n">
        <v>1806</v>
      </c>
      <c r="EN20" s="31" t="n">
        <v>7270</v>
      </c>
      <c r="EO20" s="40">
        <f>EN20/EM20</f>
        <v/>
      </c>
      <c r="EP20" s="41">
        <f>EO20*3.30578512</f>
        <v/>
      </c>
      <c r="EQ20" s="11" t="n">
        <v>3344</v>
      </c>
      <c r="ER20" s="31" t="n">
        <v>151275</v>
      </c>
      <c r="ES20" s="40">
        <f>ER20/EQ20</f>
        <v/>
      </c>
      <c r="ET20" s="41">
        <f>ES20*3.30578512</f>
        <v/>
      </c>
      <c r="EU20" s="11" t="n">
        <v>31865</v>
      </c>
      <c r="EV20" s="31" t="n">
        <v>748199.43906</v>
      </c>
      <c r="EW20" s="40">
        <f>EV20/EU20</f>
        <v/>
      </c>
      <c r="EX20" s="41">
        <f>EW20*3.30578512</f>
        <v/>
      </c>
      <c r="EY20" s="11" t="n">
        <v>7857</v>
      </c>
      <c r="EZ20" s="31" t="n">
        <v>301931.62704</v>
      </c>
      <c r="FA20" s="40">
        <f>EZ20/EY20</f>
        <v/>
      </c>
      <c r="FB20" s="41">
        <f>FA20*3.30578512</f>
        <v/>
      </c>
      <c r="FC20" s="11" t="n">
        <v>85817</v>
      </c>
      <c r="FD20" s="31" t="n">
        <v>5595189.61136</v>
      </c>
      <c r="FE20" s="40">
        <f>FD20/FC20</f>
        <v/>
      </c>
      <c r="FF20" s="41">
        <f>FE20*3.30578512</f>
        <v/>
      </c>
      <c r="FG20" s="11" t="n">
        <v>87123</v>
      </c>
      <c r="FH20" s="31" t="n">
        <v>5990048.27321</v>
      </c>
      <c r="FI20" s="40">
        <f>FH20/FG20</f>
        <v/>
      </c>
      <c r="FJ20" s="41">
        <f>FI20*3.30578512</f>
        <v/>
      </c>
      <c r="FK20" s="11" t="n">
        <v>44228</v>
      </c>
      <c r="FL20" s="31" t="n">
        <v>1533767.87925</v>
      </c>
      <c r="FM20" s="40">
        <f>FL20/FK20</f>
        <v/>
      </c>
      <c r="FN20" s="41">
        <f>FM20*3.30578512</f>
        <v/>
      </c>
      <c r="FO20" s="11" t="n">
        <v>46931</v>
      </c>
      <c r="FP20" s="31" t="n">
        <v>1738413.45975</v>
      </c>
      <c r="FQ20" s="40">
        <f>FP20/FO20</f>
        <v/>
      </c>
      <c r="FR20" s="41">
        <f>FQ20*3.30578512</f>
        <v/>
      </c>
      <c r="FS20" s="11" t="n">
        <v>24433</v>
      </c>
      <c r="FT20" s="31" t="n">
        <v>1049753.25973</v>
      </c>
      <c r="FU20" s="40">
        <f>FT20/FS20</f>
        <v/>
      </c>
      <c r="FV20" s="41">
        <f>FU20*3.30578512</f>
        <v/>
      </c>
      <c r="FW20" s="11" t="n">
        <v>20293</v>
      </c>
      <c r="FX20" s="31" t="n">
        <v>796481.47251</v>
      </c>
      <c r="FY20" s="40">
        <f>FX20/FW20</f>
        <v/>
      </c>
      <c r="FZ20" s="41">
        <f>FY20*3.30578512</f>
        <v/>
      </c>
      <c r="GA20" s="11" t="n">
        <v>41087</v>
      </c>
      <c r="GB20" s="31" t="n">
        <v>2476355.72671</v>
      </c>
      <c r="GC20" s="40">
        <f>GB20/GA20</f>
        <v/>
      </c>
      <c r="GD20" s="41">
        <f>GC20*3.30578512</f>
        <v/>
      </c>
      <c r="GE20" s="11" t="n">
        <v>113478</v>
      </c>
      <c r="GF20" s="31" t="n">
        <v>3633237.94225</v>
      </c>
      <c r="GG20" s="40">
        <f>GF20/GE20</f>
        <v/>
      </c>
      <c r="GH20" s="41">
        <f>GG20*3.30578512</f>
        <v/>
      </c>
      <c r="GI20" s="11" t="n">
        <v>81814</v>
      </c>
      <c r="GJ20" s="31" t="n">
        <v>4079044</v>
      </c>
      <c r="GK20" s="40">
        <f>GJ20/GI20</f>
        <v/>
      </c>
      <c r="GL20" s="41">
        <f>GK20*3.30578512</f>
        <v/>
      </c>
    </row>
    <row r="21">
      <c r="B21" s="2" t="inlineStr">
        <is>
          <t>工場及び作業場</t>
        </is>
      </c>
      <c r="C21" s="11" t="n">
        <v>62005</v>
      </c>
      <c r="D21" s="31" t="n">
        <v>1252055</v>
      </c>
      <c r="E21" s="40">
        <f>D21/C21</f>
        <v/>
      </c>
      <c r="F21" s="41">
        <f>E21*3.30578512</f>
        <v/>
      </c>
      <c r="G21" s="11" t="n">
        <v>2209</v>
      </c>
      <c r="H21" s="31" t="n">
        <v>94000</v>
      </c>
      <c r="I21" s="40">
        <f>H21/G21</f>
        <v/>
      </c>
      <c r="J21" s="41">
        <f>I21*3.30578512</f>
        <v/>
      </c>
      <c r="K21" s="11" t="n">
        <v>19431</v>
      </c>
      <c r="L21" s="31" t="n">
        <v>596950</v>
      </c>
      <c r="M21" s="40">
        <f>L21/K21</f>
        <v/>
      </c>
      <c r="N21" s="41">
        <f>M21*3.30578512</f>
        <v/>
      </c>
      <c r="O21" s="11" t="n">
        <v>5584</v>
      </c>
      <c r="P21" s="31" t="n">
        <v>113500</v>
      </c>
      <c r="Q21" s="40">
        <f>P21/O21</f>
        <v/>
      </c>
      <c r="R21" s="41">
        <f>Q21*3.30578512</f>
        <v/>
      </c>
      <c r="S21" s="11" t="n">
        <v>5090</v>
      </c>
      <c r="T21" s="31" t="n">
        <v>89000</v>
      </c>
      <c r="U21" s="40">
        <f>T21/S21</f>
        <v/>
      </c>
      <c r="V21" s="41">
        <f>U21*3.30578512</f>
        <v/>
      </c>
      <c r="W21" s="11" t="n">
        <v>3053</v>
      </c>
      <c r="X21" s="31" t="n">
        <v>75000</v>
      </c>
      <c r="Y21" s="40">
        <f>X21/W21</f>
        <v/>
      </c>
      <c r="Z21" s="41">
        <f>Y21*3.30578512</f>
        <v/>
      </c>
      <c r="AA21" s="11" t="n">
        <v>9472</v>
      </c>
      <c r="AB21" s="31" t="n">
        <v>234166</v>
      </c>
      <c r="AC21" s="40">
        <f>AB21/AA21</f>
        <v/>
      </c>
      <c r="AD21" s="41">
        <f>AC21*3.30578512</f>
        <v/>
      </c>
      <c r="AE21" s="11" t="n">
        <v>2657</v>
      </c>
      <c r="AF21" s="31" t="n">
        <v>57086</v>
      </c>
      <c r="AG21" s="40">
        <f>AF21/AE21</f>
        <v/>
      </c>
      <c r="AH21" s="41">
        <f>AG21*3.30578512</f>
        <v/>
      </c>
      <c r="AI21" s="11" t="n">
        <v>3425</v>
      </c>
      <c r="AJ21" s="31" t="n">
        <v>83000</v>
      </c>
      <c r="AK21" s="40">
        <f>AJ21/AI21</f>
        <v/>
      </c>
      <c r="AL21" s="41">
        <f>AK21*3.30578512</f>
        <v/>
      </c>
      <c r="AM21" s="11" t="n">
        <v>10669</v>
      </c>
      <c r="AN21" s="31" t="n">
        <v>334890</v>
      </c>
      <c r="AO21" s="40">
        <f>AN21/AM21</f>
        <v/>
      </c>
      <c r="AP21" s="41">
        <f>AO21*3.30578512</f>
        <v/>
      </c>
      <c r="AQ21" s="11" t="n">
        <v>1121</v>
      </c>
      <c r="AR21" s="31" t="n">
        <v>41217</v>
      </c>
      <c r="AS21" s="40">
        <f>AR21/AQ21</f>
        <v/>
      </c>
      <c r="AT21" s="41">
        <f>AS21*3.30578512</f>
        <v/>
      </c>
      <c r="AU21" s="11" t="n">
        <v>14942</v>
      </c>
      <c r="AV21" s="31" t="n">
        <v>307912</v>
      </c>
      <c r="AW21" s="40">
        <f>AV21/AU21</f>
        <v/>
      </c>
      <c r="AX21" s="41">
        <f>AW21*3.30578512</f>
        <v/>
      </c>
      <c r="AY21" s="11" t="n">
        <v>11731</v>
      </c>
      <c r="AZ21" s="31" t="n">
        <v>180500</v>
      </c>
      <c r="BA21" s="40">
        <f>AZ21/AY21</f>
        <v/>
      </c>
      <c r="BB21" s="41">
        <f>BA21*3.30578512</f>
        <v/>
      </c>
      <c r="BC21" s="11" t="n">
        <v>6500</v>
      </c>
      <c r="BD21" s="31" t="n">
        <v>182692</v>
      </c>
      <c r="BE21" s="40">
        <f>BD21/BC21</f>
        <v/>
      </c>
      <c r="BF21" s="41">
        <f>BE21*3.30578512</f>
        <v/>
      </c>
      <c r="BG21" s="11" t="n">
        <v>4156</v>
      </c>
      <c r="BH21" s="31" t="n">
        <v>123740</v>
      </c>
      <c r="BI21" s="40">
        <f>BH21/BG21</f>
        <v/>
      </c>
      <c r="BJ21" s="41">
        <f>BI21*3.30578512</f>
        <v/>
      </c>
      <c r="BK21" s="11" t="n">
        <v>2408</v>
      </c>
      <c r="BL21" s="31" t="n">
        <v>95000</v>
      </c>
      <c r="BM21" s="40">
        <f>BL21/BK21</f>
        <v/>
      </c>
      <c r="BN21" s="41">
        <f>BM21*3.30578512</f>
        <v/>
      </c>
      <c r="BO21" s="11" t="n">
        <v>6365</v>
      </c>
      <c r="BP21" s="31" t="n">
        <v>154430</v>
      </c>
      <c r="BQ21" s="40">
        <f>BP21/BO21</f>
        <v/>
      </c>
      <c r="BR21" s="41">
        <f>BQ21*3.30578512</f>
        <v/>
      </c>
      <c r="BS21" s="11" t="n">
        <v>2986</v>
      </c>
      <c r="BT21" s="31" t="n">
        <v>74000</v>
      </c>
      <c r="BU21" s="40">
        <f>BT21/BS21</f>
        <v/>
      </c>
      <c r="BV21" s="41">
        <f>BU21*3.30578512</f>
        <v/>
      </c>
      <c r="BW21" s="11" t="n">
        <v>12638</v>
      </c>
      <c r="BX21" s="31" t="n">
        <v>353021</v>
      </c>
      <c r="BY21" s="40">
        <f>BX21/BW21</f>
        <v/>
      </c>
      <c r="BZ21" s="41">
        <f>BY21*3.30578512</f>
        <v/>
      </c>
      <c r="CA21" s="11" t="n">
        <v>960</v>
      </c>
      <c r="CB21" s="31" t="n">
        <v>21000</v>
      </c>
      <c r="CC21" s="40">
        <f>CB21/CA21</f>
        <v/>
      </c>
      <c r="CD21" s="41">
        <f>CC21*3.30578512</f>
        <v/>
      </c>
      <c r="CE21" s="11" t="n">
        <v>0</v>
      </c>
      <c r="CF21" s="31" t="n">
        <v>0</v>
      </c>
      <c r="CG21" s="40">
        <f>CF21/CE21</f>
        <v/>
      </c>
      <c r="CH21" s="41">
        <f>CG21*3.30578512</f>
        <v/>
      </c>
      <c r="CI21" s="11" t="n">
        <v>0</v>
      </c>
      <c r="CJ21" s="31" t="n">
        <v>0</v>
      </c>
      <c r="CK21" s="40">
        <f>CJ21/CI21</f>
        <v/>
      </c>
      <c r="CL21" s="41">
        <f>CK21*3.30578512</f>
        <v/>
      </c>
      <c r="CM21" s="11" t="n">
        <v>17656</v>
      </c>
      <c r="CN21" s="31" t="n">
        <v>473265</v>
      </c>
      <c r="CO21" s="40">
        <f>CN21/CM21</f>
        <v/>
      </c>
      <c r="CP21" s="41">
        <f>CO21*3.30578512</f>
        <v/>
      </c>
      <c r="CQ21" s="11" t="n">
        <v>2100</v>
      </c>
      <c r="CR21" s="31" t="n">
        <v>59690</v>
      </c>
      <c r="CS21" s="40">
        <f>CR21/CQ21</f>
        <v/>
      </c>
      <c r="CT21" s="41">
        <f>CS21*3.30578512</f>
        <v/>
      </c>
      <c r="CU21" s="11" t="n">
        <v>0</v>
      </c>
      <c r="CV21" s="31" t="n">
        <v>0</v>
      </c>
      <c r="CW21" s="40">
        <f>CV21/CU21</f>
        <v/>
      </c>
      <c r="CX21" s="41">
        <f>CW21*3.30578512</f>
        <v/>
      </c>
      <c r="CY21" s="11" t="n">
        <v>3464</v>
      </c>
      <c r="CZ21" s="31" t="n">
        <v>241550</v>
      </c>
      <c r="DA21" s="40">
        <f>CZ21/CY21</f>
        <v/>
      </c>
      <c r="DB21" s="41">
        <f>DA21*3.30578512</f>
        <v/>
      </c>
      <c r="DC21" s="11" t="n">
        <v>4299</v>
      </c>
      <c r="DD21" s="31" t="n">
        <v>135000</v>
      </c>
      <c r="DE21" s="40">
        <f>DD21/DC21</f>
        <v/>
      </c>
      <c r="DF21" s="41">
        <f>DE21*3.30578512</f>
        <v/>
      </c>
      <c r="DG21" s="11" t="n">
        <v>389</v>
      </c>
      <c r="DH21" s="31" t="n">
        <v>5000</v>
      </c>
      <c r="DI21" s="40">
        <f>DH21/DG21</f>
        <v/>
      </c>
      <c r="DJ21" s="41">
        <f>DI21*3.30578512</f>
        <v/>
      </c>
      <c r="DK21" s="11" t="n">
        <v>0</v>
      </c>
      <c r="DL21" s="31" t="n">
        <v>0</v>
      </c>
      <c r="DM21" s="40">
        <f>DL21/DK21</f>
        <v/>
      </c>
      <c r="DN21" s="41">
        <f>DM21*3.30578512</f>
        <v/>
      </c>
      <c r="DO21" s="11" t="n">
        <v>12724</v>
      </c>
      <c r="DP21" s="31" t="n">
        <v>578400</v>
      </c>
      <c r="DQ21" s="40">
        <f>DP21/DO21</f>
        <v/>
      </c>
      <c r="DR21" s="41">
        <f>DQ21*3.30578512</f>
        <v/>
      </c>
      <c r="DS21" s="11" t="n">
        <v>26759</v>
      </c>
      <c r="DT21" s="31" t="n">
        <v>621600</v>
      </c>
      <c r="DU21" s="40">
        <f>DT21/DS21</f>
        <v/>
      </c>
      <c r="DV21" s="41">
        <f>DU21*3.30578512</f>
        <v/>
      </c>
      <c r="DW21" s="11" t="n">
        <v>371</v>
      </c>
      <c r="DX21" s="31" t="n">
        <v>8800</v>
      </c>
      <c r="DY21" s="40">
        <f>DX21/DW21</f>
        <v/>
      </c>
      <c r="DZ21" s="41">
        <f>DY21*3.30578512</f>
        <v/>
      </c>
      <c r="EA21" s="11" t="n">
        <v>44510</v>
      </c>
      <c r="EB21" s="31" t="n">
        <v>1725000</v>
      </c>
      <c r="EC21" s="40">
        <f>EB21/EA21</f>
        <v/>
      </c>
      <c r="ED21" s="41">
        <f>EC21*3.30578512</f>
        <v/>
      </c>
      <c r="EE21" s="11" t="n">
        <v>2277</v>
      </c>
      <c r="EF21" s="31" t="n">
        <v>56630</v>
      </c>
      <c r="EG21" s="40">
        <f>EF21/EE21</f>
        <v/>
      </c>
      <c r="EH21" s="41">
        <f>EG21*3.30578512</f>
        <v/>
      </c>
      <c r="EI21" s="11" t="n">
        <v>30888</v>
      </c>
      <c r="EJ21" s="31" t="n">
        <v>1613500</v>
      </c>
      <c r="EK21" s="40">
        <f>EJ21/EI21</f>
        <v/>
      </c>
      <c r="EL21" s="41">
        <f>EK21*3.30578512</f>
        <v/>
      </c>
      <c r="EM21" s="11" t="n">
        <v>79</v>
      </c>
      <c r="EN21" s="31" t="n">
        <v>1200</v>
      </c>
      <c r="EO21" s="40">
        <f>EN21/EM21</f>
        <v/>
      </c>
      <c r="EP21" s="41">
        <f>EO21*3.30578512</f>
        <v/>
      </c>
      <c r="EQ21" s="11" t="n">
        <v>21957</v>
      </c>
      <c r="ER21" s="31" t="n">
        <v>578500</v>
      </c>
      <c r="ES21" s="40">
        <f>ER21/EQ21</f>
        <v/>
      </c>
      <c r="ET21" s="41">
        <f>ES21*3.30578512</f>
        <v/>
      </c>
      <c r="EU21" s="11" t="n">
        <v>19617</v>
      </c>
      <c r="EV21" s="31" t="n">
        <v>412524.61606</v>
      </c>
      <c r="EW21" s="40">
        <f>EV21/EU21</f>
        <v/>
      </c>
      <c r="EX21" s="41">
        <f>EW21*3.30578512</f>
        <v/>
      </c>
      <c r="EY21" s="11" t="n">
        <v>2841</v>
      </c>
      <c r="EZ21" s="31" t="n">
        <v>56342.69614</v>
      </c>
      <c r="FA21" s="40">
        <f>EZ21/EY21</f>
        <v/>
      </c>
      <c r="FB21" s="41">
        <f>FA21*3.30578512</f>
        <v/>
      </c>
      <c r="FC21" s="11" t="n">
        <v>22090</v>
      </c>
      <c r="FD21" s="31" t="n">
        <v>1314826.58788</v>
      </c>
      <c r="FE21" s="40">
        <f>FD21/FC21</f>
        <v/>
      </c>
      <c r="FF21" s="41">
        <f>FE21*3.30578512</f>
        <v/>
      </c>
      <c r="FG21" s="11" t="n">
        <v>26741</v>
      </c>
      <c r="FH21" s="31" t="n">
        <v>675396.94311</v>
      </c>
      <c r="FI21" s="40">
        <f>FH21/FG21</f>
        <v/>
      </c>
      <c r="FJ21" s="41">
        <f>FI21*3.30578512</f>
        <v/>
      </c>
      <c r="FK21" s="11" t="n">
        <v>141201</v>
      </c>
      <c r="FL21" s="31" t="n">
        <v>7526709.26544</v>
      </c>
      <c r="FM21" s="40">
        <f>FL21/FK21</f>
        <v/>
      </c>
      <c r="FN21" s="41">
        <f>FM21*3.30578512</f>
        <v/>
      </c>
      <c r="FO21" s="11" t="n">
        <v>72046</v>
      </c>
      <c r="FP21" s="31" t="n">
        <v>4691279.72042</v>
      </c>
      <c r="FQ21" s="40">
        <f>FP21/FO21</f>
        <v/>
      </c>
      <c r="FR21" s="41">
        <f>FQ21*3.30578512</f>
        <v/>
      </c>
      <c r="FS21" s="11" t="n">
        <v>52398</v>
      </c>
      <c r="FT21" s="31" t="n">
        <v>1902624.91516</v>
      </c>
      <c r="FU21" s="40">
        <f>FT21/FS21</f>
        <v/>
      </c>
      <c r="FV21" s="41">
        <f>FU21*3.30578512</f>
        <v/>
      </c>
      <c r="FW21" s="11" t="n">
        <v>50780</v>
      </c>
      <c r="FX21" s="31" t="n">
        <v>2542173.09602</v>
      </c>
      <c r="FY21" s="40">
        <f>FX21/FW21</f>
        <v/>
      </c>
      <c r="FZ21" s="41">
        <f>FY21*3.30578512</f>
        <v/>
      </c>
      <c r="GA21" s="11" t="n">
        <v>35549</v>
      </c>
      <c r="GB21" s="31" t="n">
        <v>1579652.9805</v>
      </c>
      <c r="GC21" s="40">
        <f>GB21/GA21</f>
        <v/>
      </c>
      <c r="GD21" s="41">
        <f>GC21*3.30578512</f>
        <v/>
      </c>
      <c r="GE21" s="11" t="n">
        <v>14615</v>
      </c>
      <c r="GF21" s="31" t="n">
        <v>650728.76853</v>
      </c>
      <c r="GG21" s="40">
        <f>GF21/GE21</f>
        <v/>
      </c>
      <c r="GH21" s="41">
        <f>GG21*3.30578512</f>
        <v/>
      </c>
      <c r="GI21" s="11" t="n">
        <v>11527</v>
      </c>
      <c r="GJ21" s="31" t="n">
        <v>365412</v>
      </c>
      <c r="GK21" s="40">
        <f>GJ21/GI21</f>
        <v/>
      </c>
      <c r="GL21" s="41">
        <f>GK21*3.30578512</f>
        <v/>
      </c>
    </row>
    <row r="22">
      <c r="B22" s="2" t="inlineStr">
        <is>
          <t>倉庫</t>
        </is>
      </c>
      <c r="C22" s="11" t="n">
        <v>153240</v>
      </c>
      <c r="D22" s="31" t="n">
        <v>1689704</v>
      </c>
      <c r="E22" s="40">
        <f>D22/C22</f>
        <v/>
      </c>
      <c r="F22" s="41">
        <f>E22*3.30578512</f>
        <v/>
      </c>
      <c r="G22" s="11" t="n">
        <v>537</v>
      </c>
      <c r="H22" s="31" t="n">
        <v>11100</v>
      </c>
      <c r="I22" s="40">
        <f>H22/G22</f>
        <v/>
      </c>
      <c r="J22" s="41">
        <f>I22*3.30578512</f>
        <v/>
      </c>
      <c r="K22" s="11" t="n">
        <v>15403</v>
      </c>
      <c r="L22" s="31" t="n">
        <v>180000</v>
      </c>
      <c r="M22" s="40">
        <f>L22/K22</f>
        <v/>
      </c>
      <c r="N22" s="41">
        <f>M22*3.30578512</f>
        <v/>
      </c>
      <c r="O22" s="11" t="n">
        <v>1587</v>
      </c>
      <c r="P22" s="31" t="n">
        <v>13250</v>
      </c>
      <c r="Q22" s="40">
        <f>P22/O22</f>
        <v/>
      </c>
      <c r="R22" s="41">
        <f>Q22*3.30578512</f>
        <v/>
      </c>
      <c r="S22" s="11" t="n">
        <v>13666</v>
      </c>
      <c r="T22" s="31" t="n">
        <v>225900</v>
      </c>
      <c r="U22" s="40">
        <f>T22/S22</f>
        <v/>
      </c>
      <c r="V22" s="41">
        <f>U22*3.30578512</f>
        <v/>
      </c>
      <c r="W22" s="11" t="n">
        <v>56375</v>
      </c>
      <c r="X22" s="31" t="n">
        <v>629069</v>
      </c>
      <c r="Y22" s="40">
        <f>X22/W22</f>
        <v/>
      </c>
      <c r="Z22" s="41">
        <f>Y22*3.30578512</f>
        <v/>
      </c>
      <c r="AA22" s="11" t="n">
        <v>6809</v>
      </c>
      <c r="AB22" s="31" t="n">
        <v>120730</v>
      </c>
      <c r="AC22" s="40">
        <f>AB22/AA22</f>
        <v/>
      </c>
      <c r="AD22" s="41">
        <f>AC22*3.30578512</f>
        <v/>
      </c>
      <c r="AE22" s="11" t="n">
        <v>1429</v>
      </c>
      <c r="AF22" s="31" t="n">
        <v>22150</v>
      </c>
      <c r="AG22" s="40">
        <f>AF22/AE22</f>
        <v/>
      </c>
      <c r="AH22" s="41">
        <f>AG22*3.30578512</f>
        <v/>
      </c>
      <c r="AI22" s="11" t="n">
        <v>2131</v>
      </c>
      <c r="AJ22" s="31" t="n">
        <v>29830</v>
      </c>
      <c r="AK22" s="40">
        <f>AJ22/AI22</f>
        <v/>
      </c>
      <c r="AL22" s="41">
        <f>AK22*3.30578512</f>
        <v/>
      </c>
      <c r="AM22" s="11" t="n">
        <v>89088</v>
      </c>
      <c r="AN22" s="31" t="n">
        <v>1097389</v>
      </c>
      <c r="AO22" s="40">
        <f>AN22/AM22</f>
        <v/>
      </c>
      <c r="AP22" s="41">
        <f>AO22*3.30578512</f>
        <v/>
      </c>
      <c r="AQ22" s="11" t="n">
        <v>808</v>
      </c>
      <c r="AR22" s="31" t="n">
        <v>12000</v>
      </c>
      <c r="AS22" s="40">
        <f>AR22/AQ22</f>
        <v/>
      </c>
      <c r="AT22" s="41">
        <f>AS22*3.30578512</f>
        <v/>
      </c>
      <c r="AU22" s="11" t="n">
        <v>3650</v>
      </c>
      <c r="AV22" s="31" t="n">
        <v>75000</v>
      </c>
      <c r="AW22" s="40">
        <f>AV22/AU22</f>
        <v/>
      </c>
      <c r="AX22" s="41">
        <f>AW22*3.30578512</f>
        <v/>
      </c>
      <c r="AY22" s="11" t="n">
        <v>993</v>
      </c>
      <c r="AZ22" s="31" t="n">
        <v>16700</v>
      </c>
      <c r="BA22" s="40">
        <f>AZ22/AY22</f>
        <v/>
      </c>
      <c r="BB22" s="41">
        <f>BA22*3.30578512</f>
        <v/>
      </c>
      <c r="BC22" s="11" t="n">
        <v>69088</v>
      </c>
      <c r="BD22" s="31" t="n">
        <v>1114520</v>
      </c>
      <c r="BE22" s="40">
        <f>BD22/BC22</f>
        <v/>
      </c>
      <c r="BF22" s="41">
        <f>BE22*3.30578512</f>
        <v/>
      </c>
      <c r="BG22" s="11" t="n">
        <v>214</v>
      </c>
      <c r="BH22" s="31" t="n">
        <v>4500</v>
      </c>
      <c r="BI22" s="40">
        <f>BH22/BG22</f>
        <v/>
      </c>
      <c r="BJ22" s="41">
        <f>BI22*3.30578512</f>
        <v/>
      </c>
      <c r="BK22" s="11" t="n">
        <v>18689</v>
      </c>
      <c r="BL22" s="31" t="n">
        <v>250000</v>
      </c>
      <c r="BM22" s="40">
        <f>BL22/BK22</f>
        <v/>
      </c>
      <c r="BN22" s="41">
        <f>BM22*3.30578512</f>
        <v/>
      </c>
      <c r="BO22" s="11" t="n">
        <v>15037</v>
      </c>
      <c r="BP22" s="31" t="n">
        <v>186920</v>
      </c>
      <c r="BQ22" s="40">
        <f>BP22/BO22</f>
        <v/>
      </c>
      <c r="BR22" s="41">
        <f>BQ22*3.30578512</f>
        <v/>
      </c>
      <c r="BS22" s="11" t="n">
        <v>203</v>
      </c>
      <c r="BT22" s="31" t="n">
        <v>6000</v>
      </c>
      <c r="BU22" s="40">
        <f>BT22/BS22</f>
        <v/>
      </c>
      <c r="BV22" s="41">
        <f>BU22*3.30578512</f>
        <v/>
      </c>
      <c r="BW22" s="11" t="n">
        <v>2393</v>
      </c>
      <c r="BX22" s="31" t="n">
        <v>69081</v>
      </c>
      <c r="BY22" s="40">
        <f>BX22/BW22</f>
        <v/>
      </c>
      <c r="BZ22" s="41">
        <f>BY22*3.30578512</f>
        <v/>
      </c>
      <c r="CA22" s="11" t="n">
        <v>20604</v>
      </c>
      <c r="CB22" s="31" t="n">
        <v>287300</v>
      </c>
      <c r="CC22" s="40">
        <f>CB22/CA22</f>
        <v/>
      </c>
      <c r="CD22" s="41">
        <f>CC22*3.30578512</f>
        <v/>
      </c>
      <c r="CE22" s="11" t="n">
        <v>0</v>
      </c>
      <c r="CF22" s="31" t="n">
        <v>0</v>
      </c>
      <c r="CG22" s="40">
        <f>CF22/CE22</f>
        <v/>
      </c>
      <c r="CH22" s="41">
        <f>CG22*3.30578512</f>
        <v/>
      </c>
      <c r="CI22" s="11" t="n">
        <v>1286</v>
      </c>
      <c r="CJ22" s="31" t="n">
        <v>21850</v>
      </c>
      <c r="CK22" s="40">
        <f>CJ22/CI22</f>
        <v/>
      </c>
      <c r="CL22" s="41">
        <f>CK22*3.30578512</f>
        <v/>
      </c>
      <c r="CM22" s="11" t="n">
        <v>4443</v>
      </c>
      <c r="CN22" s="31" t="n">
        <v>78200</v>
      </c>
      <c r="CO22" s="40">
        <f>CN22/CM22</f>
        <v/>
      </c>
      <c r="CP22" s="41">
        <f>CO22*3.30578512</f>
        <v/>
      </c>
      <c r="CQ22" s="11" t="n">
        <v>22711</v>
      </c>
      <c r="CR22" s="31" t="n">
        <v>427380</v>
      </c>
      <c r="CS22" s="40">
        <f>CR22/CQ22</f>
        <v/>
      </c>
      <c r="CT22" s="41">
        <f>CS22*3.30578512</f>
        <v/>
      </c>
      <c r="CU22" s="11" t="n">
        <v>2653</v>
      </c>
      <c r="CV22" s="31" t="n">
        <v>100500</v>
      </c>
      <c r="CW22" s="40">
        <f>CV22/CU22</f>
        <v/>
      </c>
      <c r="CX22" s="41">
        <f>CW22*3.30578512</f>
        <v/>
      </c>
      <c r="CY22" s="11" t="n">
        <v>0</v>
      </c>
      <c r="CZ22" s="31" t="n">
        <v>0</v>
      </c>
      <c r="DA22" s="40">
        <f>CZ22/CY22</f>
        <v/>
      </c>
      <c r="DB22" s="41">
        <f>DA22*3.30578512</f>
        <v/>
      </c>
      <c r="DC22" s="11" t="n">
        <v>12946</v>
      </c>
      <c r="DD22" s="31" t="n">
        <v>302550</v>
      </c>
      <c r="DE22" s="40">
        <f>DD22/DC22</f>
        <v/>
      </c>
      <c r="DF22" s="41">
        <f>DE22*3.30578512</f>
        <v/>
      </c>
      <c r="DG22" s="11" t="n">
        <v>9698</v>
      </c>
      <c r="DH22" s="31" t="n">
        <v>267800</v>
      </c>
      <c r="DI22" s="40">
        <f>DH22/DG22</f>
        <v/>
      </c>
      <c r="DJ22" s="41">
        <f>DI22*3.30578512</f>
        <v/>
      </c>
      <c r="DK22" s="11" t="n">
        <v>0</v>
      </c>
      <c r="DL22" s="31" t="n">
        <v>0</v>
      </c>
      <c r="DM22" s="40">
        <f>DL22/DK22</f>
        <v/>
      </c>
      <c r="DN22" s="41">
        <f>DM22*3.30578512</f>
        <v/>
      </c>
      <c r="DO22" s="11" t="n">
        <v>0</v>
      </c>
      <c r="DP22" s="31" t="n">
        <v>0</v>
      </c>
      <c r="DQ22" s="40">
        <f>DP22/DO22</f>
        <v/>
      </c>
      <c r="DR22" s="41">
        <f>DQ22*3.30578512</f>
        <v/>
      </c>
      <c r="DS22" s="11" t="n">
        <v>1724</v>
      </c>
      <c r="DT22" s="31" t="n">
        <v>29300</v>
      </c>
      <c r="DU22" s="40">
        <f>DT22/DS22</f>
        <v/>
      </c>
      <c r="DV22" s="41">
        <f>DU22*3.30578512</f>
        <v/>
      </c>
      <c r="DW22" s="11" t="n">
        <v>111736</v>
      </c>
      <c r="DX22" s="31" t="n">
        <v>2179930</v>
      </c>
      <c r="DY22" s="40">
        <f>DX22/DW22</f>
        <v/>
      </c>
      <c r="DZ22" s="41">
        <f>DY22*3.30578512</f>
        <v/>
      </c>
      <c r="EA22" s="11" t="n">
        <v>15871</v>
      </c>
      <c r="EB22" s="31" t="n">
        <v>418575</v>
      </c>
      <c r="EC22" s="40">
        <f>EB22/EA22</f>
        <v/>
      </c>
      <c r="ED22" s="41">
        <f>EC22*3.30578512</f>
        <v/>
      </c>
      <c r="EE22" s="11" t="n">
        <v>0</v>
      </c>
      <c r="EF22" s="31" t="n">
        <v>0</v>
      </c>
      <c r="EG22" s="40">
        <f>EF22/EE22</f>
        <v/>
      </c>
      <c r="EH22" s="41">
        <f>EG22*3.30578512</f>
        <v/>
      </c>
      <c r="EI22" s="11" t="n">
        <v>25</v>
      </c>
      <c r="EJ22" s="31" t="n">
        <v>100</v>
      </c>
      <c r="EK22" s="40">
        <f>EJ22/EI22</f>
        <v/>
      </c>
      <c r="EL22" s="41">
        <f>EK22*3.30578512</f>
        <v/>
      </c>
      <c r="EM22" s="11" t="n">
        <v>255890</v>
      </c>
      <c r="EN22" s="31" t="n">
        <v>4832990</v>
      </c>
      <c r="EO22" s="40">
        <f>EN22/EM22</f>
        <v/>
      </c>
      <c r="EP22" s="41">
        <f>EO22*3.30578512</f>
        <v/>
      </c>
      <c r="EQ22" s="11" t="n">
        <v>50404</v>
      </c>
      <c r="ER22" s="31" t="n">
        <v>946610</v>
      </c>
      <c r="ES22" s="40">
        <f>ER22/EQ22</f>
        <v/>
      </c>
      <c r="ET22" s="41">
        <f>ES22*3.30578512</f>
        <v/>
      </c>
      <c r="EU22" s="11" t="n">
        <v>25315</v>
      </c>
      <c r="EV22" s="31" t="n">
        <v>834801.0782099999</v>
      </c>
      <c r="EW22" s="40">
        <f>EV22/EU22</f>
        <v/>
      </c>
      <c r="EX22" s="41">
        <f>EW22*3.30578512</f>
        <v/>
      </c>
      <c r="EY22" s="11" t="n">
        <v>47793</v>
      </c>
      <c r="EZ22" s="31" t="n">
        <v>1028281.63805</v>
      </c>
      <c r="FA22" s="40">
        <f>EZ22/EY22</f>
        <v/>
      </c>
      <c r="FB22" s="41">
        <f>FA22*3.30578512</f>
        <v/>
      </c>
      <c r="FC22" s="11" t="n">
        <v>16411</v>
      </c>
      <c r="FD22" s="31" t="n">
        <v>267589.42607</v>
      </c>
      <c r="FE22" s="40">
        <f>FD22/FC22</f>
        <v/>
      </c>
      <c r="FF22" s="41">
        <f>FE22*3.30578512</f>
        <v/>
      </c>
      <c r="FG22" s="11" t="n">
        <v>87387</v>
      </c>
      <c r="FH22" s="31" t="n">
        <v>2104780.50473</v>
      </c>
      <c r="FI22" s="40">
        <f>FH22/FG22</f>
        <v/>
      </c>
      <c r="FJ22" s="41">
        <f>FI22*3.30578512</f>
        <v/>
      </c>
      <c r="FK22" s="11" t="n">
        <v>94733</v>
      </c>
      <c r="FL22" s="31" t="n">
        <v>2701573.82712</v>
      </c>
      <c r="FM22" s="40">
        <f>FL22/FK22</f>
        <v/>
      </c>
      <c r="FN22" s="41">
        <f>FM22*3.30578512</f>
        <v/>
      </c>
      <c r="FO22" s="11" t="n">
        <v>116589</v>
      </c>
      <c r="FP22" s="31" t="n">
        <v>3146602.74577</v>
      </c>
      <c r="FQ22" s="40">
        <f>FP22/FO22</f>
        <v/>
      </c>
      <c r="FR22" s="41">
        <f>FQ22*3.30578512</f>
        <v/>
      </c>
      <c r="FS22" s="11" t="n">
        <v>96077</v>
      </c>
      <c r="FT22" s="31" t="n">
        <v>2270387.14559</v>
      </c>
      <c r="FU22" s="40">
        <f>FT22/FS22</f>
        <v/>
      </c>
      <c r="FV22" s="41">
        <f>FU22*3.30578512</f>
        <v/>
      </c>
      <c r="FW22" s="11" t="n">
        <v>69494</v>
      </c>
      <c r="FX22" s="31" t="n">
        <v>1998559.50181</v>
      </c>
      <c r="FY22" s="40">
        <f>FX22/FW22</f>
        <v/>
      </c>
      <c r="FZ22" s="41">
        <f>FY22*3.30578512</f>
        <v/>
      </c>
      <c r="GA22" s="11" t="n">
        <v>262209</v>
      </c>
      <c r="GB22" s="31" t="n">
        <v>5718614.25773</v>
      </c>
      <c r="GC22" s="40">
        <f>GB22/GA22</f>
        <v/>
      </c>
      <c r="GD22" s="41">
        <f>GC22*3.30578512</f>
        <v/>
      </c>
      <c r="GE22" s="11" t="n">
        <v>30935</v>
      </c>
      <c r="GF22" s="31" t="n">
        <v>743218.09382</v>
      </c>
      <c r="GG22" s="40">
        <f>GF22/GE22</f>
        <v/>
      </c>
      <c r="GH22" s="41">
        <f>GG22*3.30578512</f>
        <v/>
      </c>
      <c r="GI22" s="11" t="n">
        <v>28816</v>
      </c>
      <c r="GJ22" s="31" t="n">
        <v>1068346</v>
      </c>
      <c r="GK22" s="40">
        <f>GJ22/GI22</f>
        <v/>
      </c>
      <c r="GL22" s="41">
        <f>GK22*3.30578512</f>
        <v/>
      </c>
    </row>
    <row r="23">
      <c r="B23" s="2" t="inlineStr">
        <is>
          <t>学校の校舎</t>
        </is>
      </c>
      <c r="C23" s="11" t="n">
        <v>14738</v>
      </c>
      <c r="D23" s="31" t="n">
        <v>528100</v>
      </c>
      <c r="E23" s="40">
        <f>D23/C23</f>
        <v/>
      </c>
      <c r="F23" s="41">
        <f>E23*3.30578512</f>
        <v/>
      </c>
      <c r="G23" s="11" t="n">
        <v>0</v>
      </c>
      <c r="H23" s="31" t="n">
        <v>0</v>
      </c>
      <c r="I23" s="40">
        <f>H23/G23</f>
        <v/>
      </c>
      <c r="J23" s="41">
        <f>I23*3.30578512</f>
        <v/>
      </c>
      <c r="K23" s="11" t="n">
        <v>0</v>
      </c>
      <c r="L23" s="31" t="n">
        <v>0</v>
      </c>
      <c r="M23" s="40">
        <f>L23/K23</f>
        <v/>
      </c>
      <c r="N23" s="41">
        <f>M23*3.30578512</f>
        <v/>
      </c>
      <c r="O23" s="11" t="n">
        <v>0</v>
      </c>
      <c r="P23" s="31" t="n">
        <v>0</v>
      </c>
      <c r="Q23" s="40">
        <f>P23/O23</f>
        <v/>
      </c>
      <c r="R23" s="41">
        <f>Q23*3.30578512</f>
        <v/>
      </c>
      <c r="S23" s="11" t="n">
        <v>0</v>
      </c>
      <c r="T23" s="31" t="n">
        <v>0</v>
      </c>
      <c r="U23" s="40">
        <f>T23/S23</f>
        <v/>
      </c>
      <c r="V23" s="41">
        <f>U23*3.30578512</f>
        <v/>
      </c>
      <c r="W23" s="11" t="n">
        <v>30</v>
      </c>
      <c r="X23" s="31" t="n">
        <v>300</v>
      </c>
      <c r="Y23" s="40">
        <f>X23/W23</f>
        <v/>
      </c>
      <c r="Z23" s="41">
        <f>Y23*3.30578512</f>
        <v/>
      </c>
      <c r="AA23" s="11" t="n">
        <v>0</v>
      </c>
      <c r="AB23" s="31" t="n">
        <v>0</v>
      </c>
      <c r="AC23" s="40">
        <f>AB23/AA23</f>
        <v/>
      </c>
      <c r="AD23" s="41">
        <f>AC23*3.30578512</f>
        <v/>
      </c>
      <c r="AE23" s="11" t="n">
        <v>19491</v>
      </c>
      <c r="AF23" s="31" t="n">
        <v>636370</v>
      </c>
      <c r="AG23" s="40">
        <f>AF23/AE23</f>
        <v/>
      </c>
      <c r="AH23" s="41">
        <f>AG23*3.30578512</f>
        <v/>
      </c>
      <c r="AI23" s="11" t="n">
        <v>0</v>
      </c>
      <c r="AJ23" s="31" t="n">
        <v>0</v>
      </c>
      <c r="AK23" s="40">
        <f>AJ23/AI23</f>
        <v/>
      </c>
      <c r="AL23" s="41">
        <f>AK23*3.30578512</f>
        <v/>
      </c>
      <c r="AM23" s="11" t="n">
        <v>1473</v>
      </c>
      <c r="AN23" s="31" t="n">
        <v>2000</v>
      </c>
      <c r="AO23" s="40">
        <f>AN23/AM23</f>
        <v/>
      </c>
      <c r="AP23" s="41">
        <f>AO23*3.30578512</f>
        <v/>
      </c>
      <c r="AQ23" s="11" t="n">
        <v>0</v>
      </c>
      <c r="AR23" s="31" t="n">
        <v>0</v>
      </c>
      <c r="AS23" s="40">
        <f>AR23/AQ23</f>
        <v/>
      </c>
      <c r="AT23" s="41">
        <f>AS23*3.30578512</f>
        <v/>
      </c>
      <c r="AU23" s="11" t="n">
        <v>45486</v>
      </c>
      <c r="AV23" s="31" t="n">
        <v>2000000</v>
      </c>
      <c r="AW23" s="40">
        <f>AV23/AU23</f>
        <v/>
      </c>
      <c r="AX23" s="41">
        <f>AW23*3.30578512</f>
        <v/>
      </c>
      <c r="AY23" s="11" t="n">
        <v>0</v>
      </c>
      <c r="AZ23" s="31" t="n">
        <v>0</v>
      </c>
      <c r="BA23" s="40">
        <f>AZ23/AY23</f>
        <v/>
      </c>
      <c r="BB23" s="41">
        <f>BA23*3.30578512</f>
        <v/>
      </c>
      <c r="BC23" s="11" t="n">
        <v>0</v>
      </c>
      <c r="BD23" s="31" t="n">
        <v>0</v>
      </c>
      <c r="BE23" s="40">
        <f>BD23/BC23</f>
        <v/>
      </c>
      <c r="BF23" s="41">
        <f>BE23*3.30578512</f>
        <v/>
      </c>
      <c r="BG23" s="11" t="n">
        <v>0</v>
      </c>
      <c r="BH23" s="31" t="n">
        <v>0</v>
      </c>
      <c r="BI23" s="40">
        <f>BH23/BG23</f>
        <v/>
      </c>
      <c r="BJ23" s="41">
        <f>BI23*3.30578512</f>
        <v/>
      </c>
      <c r="BK23" s="11" t="n">
        <v>0</v>
      </c>
      <c r="BL23" s="31" t="n">
        <v>0</v>
      </c>
      <c r="BM23" s="40">
        <f>BL23/BK23</f>
        <v/>
      </c>
      <c r="BN23" s="41">
        <f>BM23*3.30578512</f>
        <v/>
      </c>
      <c r="BO23" s="11" t="n">
        <v>0</v>
      </c>
      <c r="BP23" s="31" t="n">
        <v>0</v>
      </c>
      <c r="BQ23" s="40">
        <f>BP23/BO23</f>
        <v/>
      </c>
      <c r="BR23" s="41">
        <f>BQ23*3.30578512</f>
        <v/>
      </c>
      <c r="BS23" s="11" t="n">
        <v>0</v>
      </c>
      <c r="BT23" s="31" t="n">
        <v>0</v>
      </c>
      <c r="BU23" s="40">
        <f>BT23/BS23</f>
        <v/>
      </c>
      <c r="BV23" s="41">
        <f>BU23*3.30578512</f>
        <v/>
      </c>
      <c r="BW23" s="11" t="n">
        <v>0</v>
      </c>
      <c r="BX23" s="31" t="n">
        <v>0</v>
      </c>
      <c r="BY23" s="40">
        <f>BX23/BW23</f>
        <v/>
      </c>
      <c r="BZ23" s="41">
        <f>BY23*3.30578512</f>
        <v/>
      </c>
      <c r="CA23" s="11" t="n">
        <v>0</v>
      </c>
      <c r="CB23" s="31" t="n">
        <v>0</v>
      </c>
      <c r="CC23" s="40">
        <f>CB23/CA23</f>
        <v/>
      </c>
      <c r="CD23" s="41">
        <f>CC23*3.30578512</f>
        <v/>
      </c>
      <c r="CE23" s="11" t="n">
        <v>0</v>
      </c>
      <c r="CF23" s="31" t="n">
        <v>0</v>
      </c>
      <c r="CG23" s="40">
        <f>CF23/CE23</f>
        <v/>
      </c>
      <c r="CH23" s="41">
        <f>CG23*3.30578512</f>
        <v/>
      </c>
      <c r="CI23" s="11" t="n">
        <v>0</v>
      </c>
      <c r="CJ23" s="31" t="n">
        <v>0</v>
      </c>
      <c r="CK23" s="40">
        <f>CJ23/CI23</f>
        <v/>
      </c>
      <c r="CL23" s="41">
        <f>CK23*3.30578512</f>
        <v/>
      </c>
      <c r="CM23" s="11" t="n">
        <v>0</v>
      </c>
      <c r="CN23" s="31" t="n">
        <v>0</v>
      </c>
      <c r="CO23" s="40">
        <f>CN23/CM23</f>
        <v/>
      </c>
      <c r="CP23" s="41">
        <f>CO23*3.30578512</f>
        <v/>
      </c>
      <c r="CQ23" s="11" t="n">
        <v>0</v>
      </c>
      <c r="CR23" s="31" t="n">
        <v>0</v>
      </c>
      <c r="CS23" s="40">
        <f>CR23/CQ23</f>
        <v/>
      </c>
      <c r="CT23" s="41">
        <f>CS23*3.30578512</f>
        <v/>
      </c>
      <c r="CU23" s="11" t="n">
        <v>0</v>
      </c>
      <c r="CV23" s="31" t="n">
        <v>0</v>
      </c>
      <c r="CW23" s="40">
        <f>CV23/CU23</f>
        <v/>
      </c>
      <c r="CX23" s="41">
        <f>CW23*3.30578512</f>
        <v/>
      </c>
      <c r="CY23" s="11" t="n">
        <v>16982</v>
      </c>
      <c r="CZ23" s="31" t="n">
        <v>1250000</v>
      </c>
      <c r="DA23" s="40">
        <f>CZ23/CY23</f>
        <v/>
      </c>
      <c r="DB23" s="41">
        <f>DA23*3.30578512</f>
        <v/>
      </c>
      <c r="DC23" s="11" t="n">
        <v>888</v>
      </c>
      <c r="DD23" s="31" t="n">
        <v>47860</v>
      </c>
      <c r="DE23" s="40">
        <f>DD23/DC23</f>
        <v/>
      </c>
      <c r="DF23" s="41">
        <f>DE23*3.30578512</f>
        <v/>
      </c>
      <c r="DG23" s="11" t="n">
        <v>0</v>
      </c>
      <c r="DH23" s="31" t="n">
        <v>0</v>
      </c>
      <c r="DI23" s="40">
        <f>DH23/DG23</f>
        <v/>
      </c>
      <c r="DJ23" s="41">
        <f>DI23*3.30578512</f>
        <v/>
      </c>
      <c r="DK23" s="11" t="n">
        <v>0</v>
      </c>
      <c r="DL23" s="31" t="n">
        <v>0</v>
      </c>
      <c r="DM23" s="40">
        <f>DL23/DK23</f>
        <v/>
      </c>
      <c r="DN23" s="41">
        <f>DM23*3.30578512</f>
        <v/>
      </c>
      <c r="DO23" s="11" t="n">
        <v>0</v>
      </c>
      <c r="DP23" s="31" t="n">
        <v>0</v>
      </c>
      <c r="DQ23" s="40">
        <f>DP23/DO23</f>
        <v/>
      </c>
      <c r="DR23" s="41">
        <f>DQ23*3.30578512</f>
        <v/>
      </c>
      <c r="DS23" s="11" t="n">
        <v>854</v>
      </c>
      <c r="DT23" s="31" t="n">
        <v>100000</v>
      </c>
      <c r="DU23" s="40">
        <f>DT23/DS23</f>
        <v/>
      </c>
      <c r="DV23" s="41">
        <f>DU23*3.30578512</f>
        <v/>
      </c>
      <c r="DW23" s="11" t="n">
        <v>0</v>
      </c>
      <c r="DX23" s="31" t="n">
        <v>0</v>
      </c>
      <c r="DY23" s="40">
        <f>DX23/DW23</f>
        <v/>
      </c>
      <c r="DZ23" s="41">
        <f>DY23*3.30578512</f>
        <v/>
      </c>
      <c r="EA23" s="11" t="n">
        <v>0</v>
      </c>
      <c r="EB23" s="31" t="n">
        <v>0</v>
      </c>
      <c r="EC23" s="40">
        <f>EB23/EA23</f>
        <v/>
      </c>
      <c r="ED23" s="41">
        <f>EC23*3.30578512</f>
        <v/>
      </c>
      <c r="EE23" s="11" t="n">
        <v>0</v>
      </c>
      <c r="EF23" s="31" t="n">
        <v>0</v>
      </c>
      <c r="EG23" s="40">
        <f>EF23/EE23</f>
        <v/>
      </c>
      <c r="EH23" s="41">
        <f>EG23*3.30578512</f>
        <v/>
      </c>
      <c r="EI23" s="11" t="n">
        <v>0</v>
      </c>
      <c r="EJ23" s="31" t="n">
        <v>0</v>
      </c>
      <c r="EK23" s="40">
        <f>EJ23/EI23</f>
        <v/>
      </c>
      <c r="EL23" s="41">
        <f>EK23*3.30578512</f>
        <v/>
      </c>
      <c r="EM23" s="11" t="n">
        <v>0</v>
      </c>
      <c r="EN23" s="31" t="n">
        <v>0</v>
      </c>
      <c r="EO23" s="40">
        <f>EN23/EM23</f>
        <v/>
      </c>
      <c r="EP23" s="41">
        <f>EO23*3.30578512</f>
        <v/>
      </c>
      <c r="EQ23" s="11" t="n">
        <v>0</v>
      </c>
      <c r="ER23" s="31" t="n">
        <v>0</v>
      </c>
      <c r="ES23" s="40">
        <f>ER23/EQ23</f>
        <v/>
      </c>
      <c r="ET23" s="41">
        <f>ES23*3.30578512</f>
        <v/>
      </c>
      <c r="EU23" s="11" t="n">
        <v>1354</v>
      </c>
      <c r="EV23" s="31" t="n">
        <v>111816.81682</v>
      </c>
      <c r="EW23" s="40">
        <f>EV23/EU23</f>
        <v/>
      </c>
      <c r="EX23" s="41">
        <f>EW23*3.30578512</f>
        <v/>
      </c>
      <c r="EY23" s="11" t="n">
        <v>1254</v>
      </c>
      <c r="EZ23" s="31" t="n">
        <v>76724.41553</v>
      </c>
      <c r="FA23" s="40">
        <f>EZ23/EY23</f>
        <v/>
      </c>
      <c r="FB23" s="41">
        <f>FA23*3.30578512</f>
        <v/>
      </c>
      <c r="FC23" s="11" t="n">
        <v>6398</v>
      </c>
      <c r="FD23" s="31" t="n">
        <v>149693.78766</v>
      </c>
      <c r="FE23" s="40">
        <f>FD23/FC23</f>
        <v/>
      </c>
      <c r="FF23" s="41">
        <f>FE23*3.30578512</f>
        <v/>
      </c>
      <c r="FG23" s="11" t="n">
        <v>21156</v>
      </c>
      <c r="FH23" s="31" t="n">
        <v>723762.28367</v>
      </c>
      <c r="FI23" s="40">
        <f>FH23/FG23</f>
        <v/>
      </c>
      <c r="FJ23" s="41">
        <f>FI23*3.30578512</f>
        <v/>
      </c>
      <c r="FK23" s="11" t="n">
        <v>582</v>
      </c>
      <c r="FL23" s="31" t="n">
        <v>101422.4924</v>
      </c>
      <c r="FM23" s="40">
        <f>FL23/FK23</f>
        <v/>
      </c>
      <c r="FN23" s="41">
        <f>FM23*3.30578512</f>
        <v/>
      </c>
      <c r="FO23" s="11" t="n">
        <v>0</v>
      </c>
      <c r="FP23" s="31" t="n">
        <v>0</v>
      </c>
      <c r="FQ23" s="40">
        <f>FP23/FO23</f>
        <v/>
      </c>
      <c r="FR23" s="41">
        <f>FQ23*3.30578512</f>
        <v/>
      </c>
      <c r="FS23" s="11" t="n">
        <v>511</v>
      </c>
      <c r="FT23" s="31" t="n">
        <v>20222.22222</v>
      </c>
      <c r="FU23" s="40">
        <f>FT23/FS23</f>
        <v/>
      </c>
      <c r="FV23" s="41">
        <f>FU23*3.30578512</f>
        <v/>
      </c>
      <c r="FW23" s="11" t="n">
        <v>740</v>
      </c>
      <c r="FX23" s="31" t="n">
        <v>39900.51077</v>
      </c>
      <c r="FY23" s="40">
        <f>FX23/FW23</f>
        <v/>
      </c>
      <c r="FZ23" s="41">
        <f>FY23*3.30578512</f>
        <v/>
      </c>
      <c r="GA23" s="11" t="n">
        <v>0</v>
      </c>
      <c r="GB23" s="31" t="n">
        <v>0</v>
      </c>
      <c r="GC23" s="40">
        <f>GB23/GA23</f>
        <v/>
      </c>
      <c r="GD23" s="41">
        <f>GC23*3.30578512</f>
        <v/>
      </c>
      <c r="GE23" s="11" t="n">
        <v>886</v>
      </c>
      <c r="GF23" s="31" t="n">
        <v>35089.10891</v>
      </c>
      <c r="GG23" s="40">
        <f>GF23/GE23</f>
        <v/>
      </c>
      <c r="GH23" s="41">
        <f>GG23*3.30578512</f>
        <v/>
      </c>
      <c r="GI23" s="11" t="n">
        <v>0</v>
      </c>
      <c r="GJ23" s="31" t="n">
        <v>0</v>
      </c>
      <c r="GK23" s="40">
        <f>GJ23/GI23</f>
        <v/>
      </c>
      <c r="GL23" s="41">
        <f>GK23*3.30578512</f>
        <v/>
      </c>
    </row>
    <row r="24">
      <c r="B24" s="2" t="inlineStr">
        <is>
          <t>病院・診療所</t>
        </is>
      </c>
      <c r="C24" s="11" t="n">
        <v>10862</v>
      </c>
      <c r="D24" s="31" t="n">
        <v>418652</v>
      </c>
      <c r="E24" s="40">
        <f>D24/C24</f>
        <v/>
      </c>
      <c r="F24" s="41">
        <f>E24*3.30578512</f>
        <v/>
      </c>
      <c r="G24" s="11" t="n">
        <v>0</v>
      </c>
      <c r="H24" s="31" t="n">
        <v>0</v>
      </c>
      <c r="I24" s="40">
        <f>H24/G24</f>
        <v/>
      </c>
      <c r="J24" s="41">
        <f>I24*3.30578512</f>
        <v/>
      </c>
      <c r="K24" s="11" t="n">
        <v>570</v>
      </c>
      <c r="L24" s="31" t="n">
        <v>11000</v>
      </c>
      <c r="M24" s="40">
        <f>L24/K24</f>
        <v/>
      </c>
      <c r="N24" s="41">
        <f>M24*3.30578512</f>
        <v/>
      </c>
      <c r="O24" s="11" t="n">
        <v>0</v>
      </c>
      <c r="P24" s="31" t="n">
        <v>0</v>
      </c>
      <c r="Q24" s="40">
        <f>P24/O24</f>
        <v/>
      </c>
      <c r="R24" s="41">
        <f>Q24*3.30578512</f>
        <v/>
      </c>
      <c r="S24" s="11" t="n">
        <v>1939</v>
      </c>
      <c r="T24" s="31" t="n">
        <v>62334</v>
      </c>
      <c r="U24" s="40">
        <f>T24/S24</f>
        <v/>
      </c>
      <c r="V24" s="41">
        <f>U24*3.30578512</f>
        <v/>
      </c>
      <c r="W24" s="11" t="n">
        <v>0</v>
      </c>
      <c r="X24" s="31" t="n">
        <v>0</v>
      </c>
      <c r="Y24" s="40">
        <f>X24/W24</f>
        <v/>
      </c>
      <c r="Z24" s="41">
        <f>Y24*3.30578512</f>
        <v/>
      </c>
      <c r="AA24" s="11" t="n">
        <v>0</v>
      </c>
      <c r="AB24" s="31" t="n">
        <v>0</v>
      </c>
      <c r="AC24" s="40">
        <f>AB24/AA24</f>
        <v/>
      </c>
      <c r="AD24" s="41">
        <f>AC24*3.30578512</f>
        <v/>
      </c>
      <c r="AE24" s="11" t="n">
        <v>0</v>
      </c>
      <c r="AF24" s="31" t="n">
        <v>0</v>
      </c>
      <c r="AG24" s="40">
        <f>AF24/AE24</f>
        <v/>
      </c>
      <c r="AH24" s="41">
        <f>AG24*3.30578512</f>
        <v/>
      </c>
      <c r="AI24" s="11" t="n">
        <v>0</v>
      </c>
      <c r="AJ24" s="31" t="n">
        <v>0</v>
      </c>
      <c r="AK24" s="40">
        <f>AJ24/AI24</f>
        <v/>
      </c>
      <c r="AL24" s="41">
        <f>AK24*3.30578512</f>
        <v/>
      </c>
      <c r="AM24" s="11" t="n">
        <v>0</v>
      </c>
      <c r="AN24" s="31" t="n">
        <v>0</v>
      </c>
      <c r="AO24" s="40">
        <f>AN24/AM24</f>
        <v/>
      </c>
      <c r="AP24" s="41">
        <f>AO24*3.30578512</f>
        <v/>
      </c>
      <c r="AQ24" s="11" t="n">
        <v>884</v>
      </c>
      <c r="AR24" s="31" t="n">
        <v>60000</v>
      </c>
      <c r="AS24" s="40">
        <f>AR24/AQ24</f>
        <v/>
      </c>
      <c r="AT24" s="41">
        <f>AS24*3.30578512</f>
        <v/>
      </c>
      <c r="AU24" s="11" t="n">
        <v>6369</v>
      </c>
      <c r="AV24" s="31" t="n">
        <v>250000</v>
      </c>
      <c r="AW24" s="40">
        <f>AV24/AU24</f>
        <v/>
      </c>
      <c r="AX24" s="41">
        <f>AW24*3.30578512</f>
        <v/>
      </c>
      <c r="AY24" s="11" t="n">
        <v>1333</v>
      </c>
      <c r="AZ24" s="31" t="n">
        <v>77000</v>
      </c>
      <c r="BA24" s="40">
        <f>AZ24/AY24</f>
        <v/>
      </c>
      <c r="BB24" s="41">
        <f>BA24*3.30578512</f>
        <v/>
      </c>
      <c r="BC24" s="11" t="n">
        <v>0</v>
      </c>
      <c r="BD24" s="31" t="n">
        <v>0</v>
      </c>
      <c r="BE24" s="40">
        <f>BD24/BC24</f>
        <v/>
      </c>
      <c r="BF24" s="41">
        <f>BE24*3.30578512</f>
        <v/>
      </c>
      <c r="BG24" s="11" t="n">
        <v>0</v>
      </c>
      <c r="BH24" s="31" t="n">
        <v>0</v>
      </c>
      <c r="BI24" s="40">
        <f>BH24/BG24</f>
        <v/>
      </c>
      <c r="BJ24" s="41">
        <f>BI24*3.30578512</f>
        <v/>
      </c>
      <c r="BK24" s="11" t="n">
        <v>2687</v>
      </c>
      <c r="BL24" s="31" t="n">
        <v>75000</v>
      </c>
      <c r="BM24" s="40">
        <f>BL24/BK24</f>
        <v/>
      </c>
      <c r="BN24" s="41">
        <f>BM24*3.30578512</f>
        <v/>
      </c>
      <c r="BO24" s="11" t="n">
        <v>2893</v>
      </c>
      <c r="BP24" s="31" t="n">
        <v>119500</v>
      </c>
      <c r="BQ24" s="40">
        <f>BP24/BO24</f>
        <v/>
      </c>
      <c r="BR24" s="41">
        <f>BQ24*3.30578512</f>
        <v/>
      </c>
      <c r="BS24" s="11" t="n">
        <v>281</v>
      </c>
      <c r="BT24" s="31" t="n">
        <v>9200</v>
      </c>
      <c r="BU24" s="40">
        <f>BT24/BS24</f>
        <v/>
      </c>
      <c r="BV24" s="41">
        <f>BU24*3.30578512</f>
        <v/>
      </c>
      <c r="BW24" s="11" t="n">
        <v>1407</v>
      </c>
      <c r="BX24" s="31" t="n">
        <v>50000</v>
      </c>
      <c r="BY24" s="40">
        <f>BX24/BW24</f>
        <v/>
      </c>
      <c r="BZ24" s="41">
        <f>BY24*3.30578512</f>
        <v/>
      </c>
      <c r="CA24" s="11" t="n">
        <v>211</v>
      </c>
      <c r="CB24" s="31" t="n">
        <v>3500</v>
      </c>
      <c r="CC24" s="40">
        <f>CB24/CA24</f>
        <v/>
      </c>
      <c r="CD24" s="41">
        <f>CC24*3.30578512</f>
        <v/>
      </c>
      <c r="CE24" s="11" t="n">
        <v>0</v>
      </c>
      <c r="CF24" s="31" t="n">
        <v>0</v>
      </c>
      <c r="CG24" s="40">
        <f>CF24/CE24</f>
        <v/>
      </c>
      <c r="CH24" s="41">
        <f>CG24*3.30578512</f>
        <v/>
      </c>
      <c r="CI24" s="11" t="n">
        <v>0</v>
      </c>
      <c r="CJ24" s="31" t="n">
        <v>0</v>
      </c>
      <c r="CK24" s="40">
        <f>CJ24/CI24</f>
        <v/>
      </c>
      <c r="CL24" s="41">
        <f>CK24*3.30578512</f>
        <v/>
      </c>
      <c r="CM24" s="11" t="n">
        <v>0</v>
      </c>
      <c r="CN24" s="31" t="n">
        <v>0</v>
      </c>
      <c r="CO24" s="40">
        <f>CN24/CM24</f>
        <v/>
      </c>
      <c r="CP24" s="41">
        <f>CO24*3.30578512</f>
        <v/>
      </c>
      <c r="CQ24" s="11" t="n">
        <v>0</v>
      </c>
      <c r="CR24" s="31" t="n">
        <v>0</v>
      </c>
      <c r="CS24" s="40">
        <f>CR24/CQ24</f>
        <v/>
      </c>
      <c r="CT24" s="41">
        <f>CS24*3.30578512</f>
        <v/>
      </c>
      <c r="CU24" s="11" t="n">
        <v>0</v>
      </c>
      <c r="CV24" s="31" t="n">
        <v>0</v>
      </c>
      <c r="CW24" s="40">
        <f>CV24/CU24</f>
        <v/>
      </c>
      <c r="CX24" s="41">
        <f>CW24*3.30578512</f>
        <v/>
      </c>
      <c r="CY24" s="11" t="n">
        <v>0</v>
      </c>
      <c r="CZ24" s="31" t="n">
        <v>0</v>
      </c>
      <c r="DA24" s="40">
        <f>CZ24/CY24</f>
        <v/>
      </c>
      <c r="DB24" s="41">
        <f>DA24*3.30578512</f>
        <v/>
      </c>
      <c r="DC24" s="11" t="n">
        <v>645</v>
      </c>
      <c r="DD24" s="31" t="n">
        <v>18000</v>
      </c>
      <c r="DE24" s="40">
        <f>DD24/DC24</f>
        <v/>
      </c>
      <c r="DF24" s="41">
        <f>DE24*3.30578512</f>
        <v/>
      </c>
      <c r="DG24" s="11" t="n">
        <v>0</v>
      </c>
      <c r="DH24" s="31" t="n">
        <v>0</v>
      </c>
      <c r="DI24" s="40">
        <f>DH24/DG24</f>
        <v/>
      </c>
      <c r="DJ24" s="41">
        <f>DI24*3.30578512</f>
        <v/>
      </c>
      <c r="DK24" s="11" t="n">
        <v>0</v>
      </c>
      <c r="DL24" s="31" t="n">
        <v>0</v>
      </c>
      <c r="DM24" s="40">
        <f>DL24/DK24</f>
        <v/>
      </c>
      <c r="DN24" s="41">
        <f>DM24*3.30578512</f>
        <v/>
      </c>
      <c r="DO24" s="11" t="n">
        <v>0</v>
      </c>
      <c r="DP24" s="31" t="n">
        <v>0</v>
      </c>
      <c r="DQ24" s="40">
        <f>DP24/DO24</f>
        <v/>
      </c>
      <c r="DR24" s="41">
        <f>DQ24*3.30578512</f>
        <v/>
      </c>
      <c r="DS24" s="11" t="n">
        <v>2493</v>
      </c>
      <c r="DT24" s="31" t="n">
        <v>94957</v>
      </c>
      <c r="DU24" s="40">
        <f>DT24/DS24</f>
        <v/>
      </c>
      <c r="DV24" s="41">
        <f>DU24*3.30578512</f>
        <v/>
      </c>
      <c r="DW24" s="11" t="n">
        <v>997</v>
      </c>
      <c r="DX24" s="31" t="n">
        <v>24000</v>
      </c>
      <c r="DY24" s="40">
        <f>DX24/DW24</f>
        <v/>
      </c>
      <c r="DZ24" s="41">
        <f>DY24*3.30578512</f>
        <v/>
      </c>
      <c r="EA24" s="11" t="n">
        <v>2372</v>
      </c>
      <c r="EB24" s="31" t="n">
        <v>106000</v>
      </c>
      <c r="EC24" s="40">
        <f>EB24/EA24</f>
        <v/>
      </c>
      <c r="ED24" s="41">
        <f>EC24*3.30578512</f>
        <v/>
      </c>
      <c r="EE24" s="11" t="n">
        <v>4067</v>
      </c>
      <c r="EF24" s="31" t="n">
        <v>160000</v>
      </c>
      <c r="EG24" s="40">
        <f>EF24/EE24</f>
        <v/>
      </c>
      <c r="EH24" s="41">
        <f>EG24*3.30578512</f>
        <v/>
      </c>
      <c r="EI24" s="11" t="n">
        <v>0</v>
      </c>
      <c r="EJ24" s="31" t="n">
        <v>0</v>
      </c>
      <c r="EK24" s="40">
        <f>EJ24/EI24</f>
        <v/>
      </c>
      <c r="EL24" s="41">
        <f>EK24*3.30578512</f>
        <v/>
      </c>
      <c r="EM24" s="11" t="n">
        <v>0</v>
      </c>
      <c r="EN24" s="31" t="n">
        <v>0</v>
      </c>
      <c r="EO24" s="40">
        <f>EN24/EM24</f>
        <v/>
      </c>
      <c r="EP24" s="41">
        <f>EO24*3.30578512</f>
        <v/>
      </c>
      <c r="EQ24" s="11" t="n">
        <v>110</v>
      </c>
      <c r="ER24" s="31" t="n">
        <v>5000</v>
      </c>
      <c r="ES24" s="40">
        <f>ER24/EQ24</f>
        <v/>
      </c>
      <c r="ET24" s="41">
        <f>ES24*3.30578512</f>
        <v/>
      </c>
      <c r="EU24" s="11" t="n">
        <v>764</v>
      </c>
      <c r="EV24" s="31" t="n">
        <v>27506.52726</v>
      </c>
      <c r="EW24" s="40">
        <f>EV24/EU24</f>
        <v/>
      </c>
      <c r="EX24" s="41">
        <f>EW24*3.30578512</f>
        <v/>
      </c>
      <c r="EY24" s="11" t="n">
        <v>18372</v>
      </c>
      <c r="EZ24" s="31" t="n">
        <v>1040804.5317</v>
      </c>
      <c r="FA24" s="40">
        <f>EZ24/EY24</f>
        <v/>
      </c>
      <c r="FB24" s="41">
        <f>FA24*3.30578512</f>
        <v/>
      </c>
      <c r="FC24" s="11" t="n">
        <v>5564</v>
      </c>
      <c r="FD24" s="31" t="n">
        <v>234829.84823</v>
      </c>
      <c r="FE24" s="40">
        <f>FD24/FC24</f>
        <v/>
      </c>
      <c r="FF24" s="41">
        <f>FE24*3.30578512</f>
        <v/>
      </c>
      <c r="FG24" s="11" t="n">
        <v>5147</v>
      </c>
      <c r="FH24" s="31" t="n">
        <v>240459.30811</v>
      </c>
      <c r="FI24" s="40">
        <f>FH24/FG24</f>
        <v/>
      </c>
      <c r="FJ24" s="41">
        <f>FI24*3.30578512</f>
        <v/>
      </c>
      <c r="FK24" s="11" t="n">
        <v>4373</v>
      </c>
      <c r="FL24" s="31" t="n">
        <v>164206.49811</v>
      </c>
      <c r="FM24" s="40">
        <f>FL24/FK24</f>
        <v/>
      </c>
      <c r="FN24" s="41">
        <f>FM24*3.30578512</f>
        <v/>
      </c>
      <c r="FO24" s="11" t="n">
        <v>2404</v>
      </c>
      <c r="FP24" s="31" t="n">
        <v>146302.38671</v>
      </c>
      <c r="FQ24" s="40">
        <f>FP24/FO24</f>
        <v/>
      </c>
      <c r="FR24" s="41">
        <f>FQ24*3.30578512</f>
        <v/>
      </c>
      <c r="FS24" s="11" t="n">
        <v>2384</v>
      </c>
      <c r="FT24" s="31" t="n">
        <v>78753.64837</v>
      </c>
      <c r="FU24" s="40">
        <f>FT24/FS24</f>
        <v/>
      </c>
      <c r="FV24" s="41">
        <f>FU24*3.30578512</f>
        <v/>
      </c>
      <c r="FW24" s="11" t="n">
        <v>1108</v>
      </c>
      <c r="FX24" s="31" t="n">
        <v>45521.62633</v>
      </c>
      <c r="FY24" s="40">
        <f>FX24/FW24</f>
        <v/>
      </c>
      <c r="FZ24" s="41">
        <f>FY24*3.30578512</f>
        <v/>
      </c>
      <c r="GA24" s="11" t="n">
        <v>2032</v>
      </c>
      <c r="GB24" s="31" t="n">
        <v>79696.48359</v>
      </c>
      <c r="GC24" s="40">
        <f>GB24/GA24</f>
        <v/>
      </c>
      <c r="GD24" s="41">
        <f>GC24*3.30578512</f>
        <v/>
      </c>
      <c r="GE24" s="11" t="n">
        <v>2262</v>
      </c>
      <c r="GF24" s="31" t="n">
        <v>101251.17323</v>
      </c>
      <c r="GG24" s="40">
        <f>GF24/GE24</f>
        <v/>
      </c>
      <c r="GH24" s="41">
        <f>GG24*3.30578512</f>
        <v/>
      </c>
      <c r="GI24" s="11" t="n">
        <v>1931</v>
      </c>
      <c r="GJ24" s="31" t="n">
        <v>62026</v>
      </c>
      <c r="GK24" s="40">
        <f>GJ24/GI24</f>
        <v/>
      </c>
      <c r="GL24" s="41">
        <f>GK24*3.30578512</f>
        <v/>
      </c>
    </row>
    <row r="25" ht="18.6" customHeight="1" thickBot="1">
      <c r="B25" s="2" t="inlineStr">
        <is>
          <t>その他</t>
        </is>
      </c>
      <c r="C25" s="15" t="n">
        <v>135960</v>
      </c>
      <c r="D25" s="16" t="n">
        <v>3178924</v>
      </c>
      <c r="E25" s="42">
        <f>D25/C25</f>
        <v/>
      </c>
      <c r="F25" s="43">
        <f>E25*3.30578512</f>
        <v/>
      </c>
      <c r="G25" s="15" t="n">
        <v>74402</v>
      </c>
      <c r="H25" s="16" t="n">
        <v>2527876</v>
      </c>
      <c r="I25" s="42">
        <f>H25/G25</f>
        <v/>
      </c>
      <c r="J25" s="43">
        <f>I25*3.30578512</f>
        <v/>
      </c>
      <c r="K25" s="15" t="n">
        <v>29901</v>
      </c>
      <c r="L25" s="16" t="n">
        <v>381930</v>
      </c>
      <c r="M25" s="42">
        <f>L25/K25</f>
        <v/>
      </c>
      <c r="N25" s="43">
        <f>M25*3.30578512</f>
        <v/>
      </c>
      <c r="O25" s="15" t="n">
        <v>16458</v>
      </c>
      <c r="P25" s="16" t="n">
        <v>463500</v>
      </c>
      <c r="Q25" s="42">
        <f>P25/O25</f>
        <v/>
      </c>
      <c r="R25" s="43">
        <f>Q25*3.30578512</f>
        <v/>
      </c>
      <c r="S25" s="15" t="n">
        <v>3637</v>
      </c>
      <c r="T25" s="16" t="n">
        <v>28850</v>
      </c>
      <c r="U25" s="42">
        <f>T25/S25</f>
        <v/>
      </c>
      <c r="V25" s="43">
        <f>U25*3.30578512</f>
        <v/>
      </c>
      <c r="W25" s="15" t="n">
        <v>21600</v>
      </c>
      <c r="X25" s="16" t="n">
        <v>787690</v>
      </c>
      <c r="Y25" s="42">
        <f>X25/W25</f>
        <v/>
      </c>
      <c r="Z25" s="43">
        <f>Y25*3.30578512</f>
        <v/>
      </c>
      <c r="AA25" s="15" t="n">
        <v>27059</v>
      </c>
      <c r="AB25" s="16" t="n">
        <v>635736</v>
      </c>
      <c r="AC25" s="42">
        <f>AB25/AA25</f>
        <v/>
      </c>
      <c r="AD25" s="43">
        <f>AC25*3.30578512</f>
        <v/>
      </c>
      <c r="AE25" s="15" t="n">
        <v>198678</v>
      </c>
      <c r="AF25" s="16" t="n">
        <v>8486500</v>
      </c>
      <c r="AG25" s="42">
        <f>AF25/AE25</f>
        <v/>
      </c>
      <c r="AH25" s="43">
        <f>AG25*3.30578512</f>
        <v/>
      </c>
      <c r="AI25" s="15" t="n">
        <v>29234</v>
      </c>
      <c r="AJ25" s="16" t="n">
        <v>1400854</v>
      </c>
      <c r="AK25" s="42">
        <f>AJ25/AI25</f>
        <v/>
      </c>
      <c r="AL25" s="43">
        <f>AK25*3.30578512</f>
        <v/>
      </c>
      <c r="AM25" s="15" t="n">
        <v>15861</v>
      </c>
      <c r="AN25" s="16" t="n">
        <v>794396</v>
      </c>
      <c r="AO25" s="42">
        <f>AN25/AM25</f>
        <v/>
      </c>
      <c r="AP25" s="43">
        <f>AO25*3.30578512</f>
        <v/>
      </c>
      <c r="AQ25" s="15" t="n">
        <v>10824</v>
      </c>
      <c r="AR25" s="16" t="n">
        <v>324500</v>
      </c>
      <c r="AS25" s="42">
        <f>AR25/AQ25</f>
        <v/>
      </c>
      <c r="AT25" s="43">
        <f>AS25*3.30578512</f>
        <v/>
      </c>
      <c r="AU25" s="15" t="n">
        <v>28749</v>
      </c>
      <c r="AV25" s="16" t="n">
        <v>1146850</v>
      </c>
      <c r="AW25" s="42">
        <f>AV25/AU25</f>
        <v/>
      </c>
      <c r="AX25" s="43">
        <f>AW25*3.30578512</f>
        <v/>
      </c>
      <c r="AY25" s="15" t="n">
        <v>21809</v>
      </c>
      <c r="AZ25" s="16" t="n">
        <v>784500</v>
      </c>
      <c r="BA25" s="42">
        <f>AZ25/AY25</f>
        <v/>
      </c>
      <c r="BB25" s="43">
        <f>BA25*3.30578512</f>
        <v/>
      </c>
      <c r="BC25" s="15" t="n">
        <v>3467</v>
      </c>
      <c r="BD25" s="16" t="n">
        <v>190000</v>
      </c>
      <c r="BE25" s="42">
        <f>BD25/BC25</f>
        <v/>
      </c>
      <c r="BF25" s="43">
        <f>BE25*3.30578512</f>
        <v/>
      </c>
      <c r="BG25" s="15" t="n">
        <v>20851</v>
      </c>
      <c r="BH25" s="16" t="n">
        <v>362000</v>
      </c>
      <c r="BI25" s="42">
        <f>BH25/BG25</f>
        <v/>
      </c>
      <c r="BJ25" s="43">
        <f>BI25*3.30578512</f>
        <v/>
      </c>
      <c r="BK25" s="15" t="n">
        <v>9167</v>
      </c>
      <c r="BL25" s="16" t="n">
        <v>242131</v>
      </c>
      <c r="BM25" s="42">
        <f>BL25/BK25</f>
        <v/>
      </c>
      <c r="BN25" s="43">
        <f>BM25*3.30578512</f>
        <v/>
      </c>
      <c r="BO25" s="15" t="n">
        <v>18028</v>
      </c>
      <c r="BP25" s="16" t="n">
        <v>613890</v>
      </c>
      <c r="BQ25" s="42">
        <f>BP25/BO25</f>
        <v/>
      </c>
      <c r="BR25" s="43">
        <f>BQ25*3.30578512</f>
        <v/>
      </c>
      <c r="BS25" s="15" t="n">
        <v>11905</v>
      </c>
      <c r="BT25" s="16" t="n">
        <v>234000</v>
      </c>
      <c r="BU25" s="42">
        <f>BT25/BS25</f>
        <v/>
      </c>
      <c r="BV25" s="43">
        <f>BU25*3.30578512</f>
        <v/>
      </c>
      <c r="BW25" s="15" t="n">
        <v>3396</v>
      </c>
      <c r="BX25" s="16" t="n">
        <v>64100</v>
      </c>
      <c r="BY25" s="42">
        <f>BX25/BW25</f>
        <v/>
      </c>
      <c r="BZ25" s="43">
        <f>BY25*3.30578512</f>
        <v/>
      </c>
      <c r="CA25" s="15" t="n">
        <v>14435</v>
      </c>
      <c r="CB25" s="16" t="n">
        <v>440600</v>
      </c>
      <c r="CC25" s="42">
        <f>CB25/CA25</f>
        <v/>
      </c>
      <c r="CD25" s="43">
        <f>CC25*3.30578512</f>
        <v/>
      </c>
      <c r="CE25" s="15" t="n">
        <v>33051</v>
      </c>
      <c r="CF25" s="16" t="n">
        <v>1460171</v>
      </c>
      <c r="CG25" s="42">
        <f>CF25/CE25</f>
        <v/>
      </c>
      <c r="CH25" s="43">
        <f>CG25*3.30578512</f>
        <v/>
      </c>
      <c r="CI25" s="15" t="n">
        <v>15987</v>
      </c>
      <c r="CJ25" s="16" t="n">
        <v>433798</v>
      </c>
      <c r="CK25" s="42">
        <f>CJ25/CI25</f>
        <v/>
      </c>
      <c r="CL25" s="43">
        <f>CK25*3.30578512</f>
        <v/>
      </c>
      <c r="CM25" s="15" t="n">
        <v>11224</v>
      </c>
      <c r="CN25" s="16" t="n">
        <v>341686</v>
      </c>
      <c r="CO25" s="42">
        <f>CN25/CM25</f>
        <v/>
      </c>
      <c r="CP25" s="43">
        <f>CO25*3.30578512</f>
        <v/>
      </c>
      <c r="CQ25" s="15" t="n">
        <v>5442</v>
      </c>
      <c r="CR25" s="16" t="n">
        <v>201445</v>
      </c>
      <c r="CS25" s="42">
        <f>CR25/CQ25</f>
        <v/>
      </c>
      <c r="CT25" s="43">
        <f>CS25*3.30578512</f>
        <v/>
      </c>
      <c r="CU25" s="15" t="n">
        <v>56975</v>
      </c>
      <c r="CV25" s="16" t="n">
        <v>3125654</v>
      </c>
      <c r="CW25" s="42">
        <f>CV25/CU25</f>
        <v/>
      </c>
      <c r="CX25" s="43">
        <f>CW25*3.30578512</f>
        <v/>
      </c>
      <c r="CY25" s="15" t="n">
        <v>19206</v>
      </c>
      <c r="CZ25" s="16" t="n">
        <v>606890</v>
      </c>
      <c r="DA25" s="42">
        <f>CZ25/CY25</f>
        <v/>
      </c>
      <c r="DB25" s="43">
        <f>DA25*3.30578512</f>
        <v/>
      </c>
      <c r="DC25" s="15" t="n">
        <v>18184</v>
      </c>
      <c r="DD25" s="16" t="n">
        <v>1719000</v>
      </c>
      <c r="DE25" s="42">
        <f>DD25/DC25</f>
        <v/>
      </c>
      <c r="DF25" s="43">
        <f>DE25*3.30578512</f>
        <v/>
      </c>
      <c r="DG25" s="15" t="n">
        <v>16932</v>
      </c>
      <c r="DH25" s="16" t="n">
        <v>636100</v>
      </c>
      <c r="DI25" s="42">
        <f>DH25/DG25</f>
        <v/>
      </c>
      <c r="DJ25" s="43">
        <f>DI25*3.30578512</f>
        <v/>
      </c>
      <c r="DK25" s="15" t="n">
        <v>126628</v>
      </c>
      <c r="DL25" s="16" t="n">
        <v>8484650</v>
      </c>
      <c r="DM25" s="42">
        <f>DL25/DK25</f>
        <v/>
      </c>
      <c r="DN25" s="43">
        <f>DM25*3.30578512</f>
        <v/>
      </c>
      <c r="DO25" s="15" t="n">
        <v>8341</v>
      </c>
      <c r="DP25" s="16" t="n">
        <v>415100</v>
      </c>
      <c r="DQ25" s="42">
        <f>DP25/DO25</f>
        <v/>
      </c>
      <c r="DR25" s="43">
        <f>DQ25*3.30578512</f>
        <v/>
      </c>
      <c r="DS25" s="15" t="n">
        <v>7637</v>
      </c>
      <c r="DT25" s="16" t="n">
        <v>373030</v>
      </c>
      <c r="DU25" s="42">
        <f>DT25/DS25</f>
        <v/>
      </c>
      <c r="DV25" s="43">
        <f>DU25*3.30578512</f>
        <v/>
      </c>
      <c r="DW25" s="15" t="n">
        <v>8520</v>
      </c>
      <c r="DX25" s="16" t="n">
        <v>306300</v>
      </c>
      <c r="DY25" s="42">
        <f>DX25/DW25</f>
        <v/>
      </c>
      <c r="DZ25" s="43">
        <f>DY25*3.30578512</f>
        <v/>
      </c>
      <c r="EA25" s="15" t="n">
        <v>34834</v>
      </c>
      <c r="EB25" s="16" t="n">
        <v>7225000</v>
      </c>
      <c r="EC25" s="42">
        <f>EB25/EA25</f>
        <v/>
      </c>
      <c r="ED25" s="43">
        <f>EC25*3.30578512</f>
        <v/>
      </c>
      <c r="EE25" s="15" t="n">
        <v>14582</v>
      </c>
      <c r="EF25" s="16" t="n">
        <v>566477</v>
      </c>
      <c r="EG25" s="42">
        <f>EF25/EE25</f>
        <v/>
      </c>
      <c r="EH25" s="43">
        <f>EG25*3.30578512</f>
        <v/>
      </c>
      <c r="EI25" s="15" t="n">
        <v>19418</v>
      </c>
      <c r="EJ25" s="16" t="n">
        <v>532000</v>
      </c>
      <c r="EK25" s="42">
        <f>EJ25/EI25</f>
        <v/>
      </c>
      <c r="EL25" s="43">
        <f>EK25*3.30578512</f>
        <v/>
      </c>
      <c r="EM25" s="15" t="n">
        <v>2786</v>
      </c>
      <c r="EN25" s="16" t="n">
        <v>118174</v>
      </c>
      <c r="EO25" s="42">
        <f>EN25/EM25</f>
        <v/>
      </c>
      <c r="EP25" s="43">
        <f>EO25*3.30578512</f>
        <v/>
      </c>
      <c r="EQ25" s="15" t="n">
        <v>2351</v>
      </c>
      <c r="ER25" s="16" t="n">
        <v>77800</v>
      </c>
      <c r="ES25" s="42">
        <f>ER25/EQ25</f>
        <v/>
      </c>
      <c r="ET25" s="43">
        <f>ES25*3.30578512</f>
        <v/>
      </c>
      <c r="EU25" s="15" t="n">
        <v>24121</v>
      </c>
      <c r="EV25" s="16" t="n">
        <v>1183001.68755</v>
      </c>
      <c r="EW25" s="42">
        <f>EV25/EU25</f>
        <v/>
      </c>
      <c r="EX25" s="43">
        <f>EW25*3.30578512</f>
        <v/>
      </c>
      <c r="EY25" s="15" t="n">
        <v>28099</v>
      </c>
      <c r="EZ25" s="16" t="n">
        <v>4589084.49811</v>
      </c>
      <c r="FA25" s="42">
        <f>EZ25/EY25</f>
        <v/>
      </c>
      <c r="FB25" s="43">
        <f>FA25*3.30578512</f>
        <v/>
      </c>
      <c r="FC25" s="15" t="n">
        <v>113144</v>
      </c>
      <c r="FD25" s="16" t="n">
        <v>7381789.28356</v>
      </c>
      <c r="FE25" s="42">
        <f>FD25/FC25</f>
        <v/>
      </c>
      <c r="FF25" s="43">
        <f>FE25*3.30578512</f>
        <v/>
      </c>
      <c r="FG25" s="15" t="n">
        <v>633108</v>
      </c>
      <c r="FH25" s="16" t="n">
        <v>58016248.40408</v>
      </c>
      <c r="FI25" s="42">
        <f>FH25/FG25</f>
        <v/>
      </c>
      <c r="FJ25" s="43">
        <f>FI25*3.30578512</f>
        <v/>
      </c>
      <c r="FK25" s="15" t="n">
        <v>52368</v>
      </c>
      <c r="FL25" s="16" t="n">
        <v>2383111.26919</v>
      </c>
      <c r="FM25" s="42">
        <f>FL25/FK25</f>
        <v/>
      </c>
      <c r="FN25" s="43">
        <f>FM25*3.30578512</f>
        <v/>
      </c>
      <c r="FO25" s="15" t="n">
        <v>26612</v>
      </c>
      <c r="FP25" s="16" t="n">
        <v>1107518.93296</v>
      </c>
      <c r="FQ25" s="42">
        <f>FP25/FO25</f>
        <v/>
      </c>
      <c r="FR25" s="43">
        <f>FQ25*3.30578512</f>
        <v/>
      </c>
      <c r="FS25" s="15" t="n">
        <v>23571</v>
      </c>
      <c r="FT25" s="16" t="n">
        <v>1003249.38285</v>
      </c>
      <c r="FU25" s="42">
        <f>FT25/FS25</f>
        <v/>
      </c>
      <c r="FV25" s="43">
        <f>FU25*3.30578512</f>
        <v/>
      </c>
      <c r="FW25" s="15" t="n">
        <v>57960</v>
      </c>
      <c r="FX25" s="16" t="n">
        <v>4417246.94629</v>
      </c>
      <c r="FY25" s="42">
        <f>FX25/FW25</f>
        <v/>
      </c>
      <c r="FZ25" s="43">
        <f>FY25*3.30578512</f>
        <v/>
      </c>
      <c r="GA25" s="15" t="n">
        <v>184306</v>
      </c>
      <c r="GB25" s="16" t="n">
        <v>12921677.36436</v>
      </c>
      <c r="GC25" s="42">
        <f>GB25/GA25</f>
        <v/>
      </c>
      <c r="GD25" s="43">
        <f>GC25*3.30578512</f>
        <v/>
      </c>
      <c r="GE25" s="15" t="n">
        <v>43686</v>
      </c>
      <c r="GF25" s="16" t="n">
        <v>1911065.56991</v>
      </c>
      <c r="GG25" s="42">
        <f>GF25/GE25</f>
        <v/>
      </c>
      <c r="GH25" s="43">
        <f>GG25*3.30578512</f>
        <v/>
      </c>
      <c r="GI25" s="15" t="n">
        <v>46017</v>
      </c>
      <c r="GJ25" s="16" t="n">
        <v>1868560</v>
      </c>
      <c r="GK25" s="42">
        <f>GJ25/GI25</f>
        <v/>
      </c>
      <c r="GL25" s="43">
        <f>GK25*3.30578512</f>
        <v/>
      </c>
    </row>
    <row r="38">
      <c r="FQ38" s="30" t="inlineStr">
        <is>
          <t>https://www.e-stat.go.jp/stat-search/files?page=1&amp;toukei=00600120&amp;tstat=000001016965</t>
        </is>
      </c>
    </row>
  </sheetData>
  <hyperlinks>
    <hyperlink xmlns:r="http://schemas.openxmlformats.org/officeDocument/2006/relationships" ref="FQ38" r:id="rId1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42"/>
  <sheetViews>
    <sheetView topLeftCell="AP20" zoomScale="85" zoomScaleNormal="85" workbookViewId="0">
      <selection activeCell="AW39" sqref="AW39"/>
    </sheetView>
  </sheetViews>
  <sheetFormatPr baseColWidth="8" defaultColWidth="8.69921875" defaultRowHeight="18"/>
  <cols>
    <col width="2.796875" customWidth="1" style="2" min="1" max="1"/>
    <col width="24.19921875" customWidth="1" style="2" min="2" max="2"/>
    <col width="9.296875" customWidth="1" style="2" min="3" max="3"/>
    <col width="14.296875" customWidth="1" style="22" min="4" max="4"/>
    <col width="8.796875" customWidth="1" min="5" max="5"/>
    <col width="8.69921875" customWidth="1" style="2" min="6" max="48"/>
    <col width="10.09765625" customWidth="1" style="2" min="49" max="51"/>
    <col width="8.69921875" customWidth="1" style="2" min="52" max="16384"/>
  </cols>
  <sheetData>
    <row r="1" ht="19.8" customHeight="1">
      <c r="A1" s="1" t="inlineStr">
        <is>
          <t>鉄骨鉄筋コンクリート造</t>
        </is>
      </c>
    </row>
    <row r="2" customFormat="1" s="19">
      <c r="C2" s="19" t="n">
        <v>2015</v>
      </c>
      <c r="D2" s="22" t="n"/>
      <c r="F2" s="19" t="inlineStr">
        <is>
          <t>R4.2</t>
        </is>
      </c>
      <c r="I2" s="19" t="inlineStr">
        <is>
          <t>R4.5</t>
        </is>
      </c>
      <c r="L2" s="19" t="inlineStr">
        <is>
          <t>R4.8</t>
        </is>
      </c>
      <c r="O2" s="19" t="inlineStr">
        <is>
          <t>R4.11</t>
        </is>
      </c>
      <c r="R2" s="19" t="inlineStr">
        <is>
          <t>R5.2</t>
        </is>
      </c>
      <c r="U2" s="19" t="inlineStr">
        <is>
          <t>R5.5</t>
        </is>
      </c>
      <c r="X2" s="19" t="inlineStr">
        <is>
          <t>R5.8</t>
        </is>
      </c>
      <c r="AA2" s="19" t="inlineStr">
        <is>
          <t>R5.11</t>
        </is>
      </c>
      <c r="AD2" s="19" t="inlineStr">
        <is>
          <t>R6.2</t>
        </is>
      </c>
      <c r="AG2" s="19" t="inlineStr">
        <is>
          <t>R6.5</t>
        </is>
      </c>
      <c r="AJ2" s="19" t="inlineStr">
        <is>
          <t>R6.8</t>
        </is>
      </c>
      <c r="AM2" s="19" t="inlineStr">
        <is>
          <t>R6.11</t>
        </is>
      </c>
      <c r="AO2" s="19" t="inlineStr">
        <is>
          <t>R7.1</t>
        </is>
      </c>
      <c r="AP2" s="19" t="inlineStr">
        <is>
          <t>R7.2</t>
        </is>
      </c>
      <c r="AQ2" s="19" t="inlineStr">
        <is>
          <t>R7.3</t>
        </is>
      </c>
      <c r="AR2" s="19" t="inlineStr">
        <is>
          <t>R7.4</t>
        </is>
      </c>
      <c r="AS2" s="19" t="inlineStr">
        <is>
          <t>R7.5</t>
        </is>
      </c>
    </row>
    <row r="3">
      <c r="B3" s="2" t="inlineStr">
        <is>
          <t>事務所</t>
        </is>
      </c>
      <c r="C3" s="45">
        <f>鉄骨鉄筋コンクリート造!F5</f>
        <v/>
      </c>
      <c r="F3" s="45">
        <f>鉄骨鉄筋コンクリート造!J5</f>
        <v/>
      </c>
      <c r="G3" s="45" t="n"/>
      <c r="H3" s="45" t="n"/>
      <c r="I3" s="45">
        <f>鉄骨鉄筋コンクリート造!N5</f>
        <v/>
      </c>
      <c r="J3" s="45" t="n"/>
      <c r="K3" s="45" t="n"/>
      <c r="L3" s="45">
        <f>鉄骨鉄筋コンクリート造!R5</f>
        <v/>
      </c>
      <c r="M3" s="45" t="n"/>
      <c r="N3" s="45" t="n"/>
      <c r="O3" s="45">
        <f>鉄骨鉄筋コンクリート造!V5</f>
        <v/>
      </c>
      <c r="P3" s="45" t="n"/>
      <c r="Q3" s="45" t="n"/>
      <c r="R3" s="45">
        <f>鉄骨鉄筋コンクリート造!Z5</f>
        <v/>
      </c>
      <c r="S3" s="45" t="n"/>
      <c r="T3" s="45" t="n"/>
      <c r="U3" s="45">
        <f>鉄骨鉄筋コンクリート造!AD5</f>
        <v/>
      </c>
      <c r="V3" s="45" t="n"/>
      <c r="W3" s="45" t="n"/>
      <c r="X3" s="45">
        <f>鉄骨鉄筋コンクリート造!AH5</f>
        <v/>
      </c>
      <c r="Y3" s="45" t="n"/>
      <c r="Z3" s="45" t="n"/>
      <c r="AA3" s="45">
        <f>鉄骨鉄筋コンクリート造!AL5</f>
        <v/>
      </c>
      <c r="AB3" s="45" t="n"/>
      <c r="AC3" s="45" t="n"/>
      <c r="AD3" s="45">
        <f>鉄骨鉄筋コンクリート造!AP5</f>
        <v/>
      </c>
      <c r="AE3" s="45" t="n"/>
      <c r="AF3" s="45" t="n"/>
      <c r="AG3" s="45">
        <f>鉄骨鉄筋コンクリート造!AT5</f>
        <v/>
      </c>
      <c r="AH3" s="45" t="n"/>
      <c r="AI3" s="45" t="n"/>
      <c r="AJ3" s="45">
        <f>鉄骨鉄筋コンクリート造!AX5</f>
        <v/>
      </c>
      <c r="AK3" s="45" t="n"/>
      <c r="AL3" s="45" t="n"/>
      <c r="AM3" s="45">
        <f>鉄骨鉄筋コンクリート造!BB5</f>
        <v/>
      </c>
      <c r="AN3" s="45" t="n"/>
      <c r="AO3" s="45" t="n"/>
      <c r="AP3" s="45">
        <f>鉄骨鉄筋コンクリート造!BF5</f>
        <v/>
      </c>
      <c r="AQ3" s="45" t="n"/>
      <c r="AR3" s="45" t="n"/>
      <c r="AS3" s="45">
        <f>鉄骨鉄筋コンクリート造!BJ5</f>
        <v/>
      </c>
    </row>
    <row r="4">
      <c r="B4" s="2" t="inlineStr">
        <is>
          <t>店舗</t>
        </is>
      </c>
      <c r="C4" s="45">
        <f>鉄骨鉄筋コンクリート造!F6</f>
        <v/>
      </c>
      <c r="F4" s="45">
        <f>鉄骨鉄筋コンクリート造!J6</f>
        <v/>
      </c>
      <c r="G4" s="45" t="n"/>
      <c r="H4" s="45" t="n"/>
      <c r="I4" s="45">
        <f>鉄骨鉄筋コンクリート造!N6</f>
        <v/>
      </c>
      <c r="J4" s="45" t="n"/>
      <c r="K4" s="45" t="n"/>
      <c r="L4" s="45">
        <f>鉄骨鉄筋コンクリート造!R6</f>
        <v/>
      </c>
      <c r="M4" s="45" t="n"/>
      <c r="N4" s="45" t="n"/>
      <c r="O4" s="45">
        <f>鉄骨鉄筋コンクリート造!V6</f>
        <v/>
      </c>
      <c r="P4" s="45" t="n"/>
      <c r="Q4" s="45" t="n"/>
      <c r="R4" s="45">
        <f>鉄骨鉄筋コンクリート造!Z6</f>
        <v/>
      </c>
      <c r="S4" s="45" t="n"/>
      <c r="T4" s="45" t="n"/>
      <c r="U4" s="45">
        <f>鉄骨鉄筋コンクリート造!AD6</f>
        <v/>
      </c>
      <c r="V4" s="45" t="n"/>
      <c r="W4" s="45" t="n"/>
      <c r="X4" s="45">
        <f>鉄骨鉄筋コンクリート造!AH6</f>
        <v/>
      </c>
      <c r="Y4" s="45" t="n"/>
      <c r="Z4" s="45" t="n"/>
      <c r="AA4" s="45">
        <f>鉄骨鉄筋コンクリート造!AL6</f>
        <v/>
      </c>
      <c r="AB4" s="45" t="n"/>
      <c r="AC4" s="45" t="n"/>
      <c r="AD4" s="45">
        <f>鉄骨鉄筋コンクリート造!AP6</f>
        <v/>
      </c>
      <c r="AE4" s="45" t="n"/>
      <c r="AF4" s="45" t="n"/>
      <c r="AG4" s="45">
        <f>鉄骨鉄筋コンクリート造!AT6</f>
        <v/>
      </c>
      <c r="AH4" s="45" t="n"/>
      <c r="AI4" s="45" t="n"/>
      <c r="AJ4" s="45">
        <f>鉄骨鉄筋コンクリート造!AX6</f>
        <v/>
      </c>
      <c r="AK4" s="45" t="n"/>
      <c r="AL4" s="45" t="n"/>
      <c r="AM4" s="45">
        <f>鉄骨鉄筋コンクリート造!BB6</f>
        <v/>
      </c>
      <c r="AN4" s="45" t="n"/>
      <c r="AO4" s="45" t="n"/>
      <c r="AP4" s="45">
        <f>鉄骨鉄筋コンクリート造!BF6</f>
        <v/>
      </c>
      <c r="AQ4" s="45" t="n"/>
      <c r="AR4" s="45" t="n"/>
      <c r="AS4" s="45">
        <f>鉄骨鉄筋コンクリート造!BJ6</f>
        <v/>
      </c>
    </row>
    <row r="5">
      <c r="B5" s="2" t="inlineStr">
        <is>
          <t>工場及び作業場</t>
        </is>
      </c>
      <c r="C5" s="45">
        <f>鉄骨鉄筋コンクリート造!F7</f>
        <v/>
      </c>
      <c r="F5" s="45">
        <f>鉄骨鉄筋コンクリート造!J7</f>
        <v/>
      </c>
      <c r="G5" s="45" t="n"/>
      <c r="H5" s="45" t="n"/>
      <c r="I5" s="45">
        <f>鉄骨鉄筋コンクリート造!N7</f>
        <v/>
      </c>
      <c r="J5" s="45" t="n"/>
      <c r="K5" s="45" t="n"/>
      <c r="L5" s="45">
        <f>鉄骨鉄筋コンクリート造!R7</f>
        <v/>
      </c>
      <c r="M5" s="45" t="n"/>
      <c r="N5" s="45" t="n"/>
      <c r="O5" s="45">
        <f>鉄骨鉄筋コンクリート造!V7</f>
        <v/>
      </c>
      <c r="P5" s="45" t="n"/>
      <c r="Q5" s="45" t="n"/>
      <c r="R5" s="45">
        <f>鉄骨鉄筋コンクリート造!Z7</f>
        <v/>
      </c>
      <c r="S5" s="45" t="n"/>
      <c r="T5" s="45" t="n"/>
      <c r="U5" s="45">
        <f>鉄骨鉄筋コンクリート造!AD7</f>
        <v/>
      </c>
      <c r="V5" s="45" t="n"/>
      <c r="W5" s="45" t="n"/>
      <c r="X5" s="45">
        <f>鉄骨鉄筋コンクリート造!AH7</f>
        <v/>
      </c>
      <c r="Y5" s="45" t="n"/>
      <c r="Z5" s="45" t="n"/>
      <c r="AA5" s="45">
        <f>鉄骨鉄筋コンクリート造!AL7</f>
        <v/>
      </c>
      <c r="AB5" s="45" t="n"/>
      <c r="AC5" s="45" t="n"/>
      <c r="AD5" s="45">
        <f>鉄骨鉄筋コンクリート造!AP7</f>
        <v/>
      </c>
      <c r="AE5" s="45" t="n"/>
      <c r="AF5" s="45" t="n"/>
      <c r="AG5" s="45">
        <f>鉄骨鉄筋コンクリート造!AT7</f>
        <v/>
      </c>
      <c r="AH5" s="45" t="n"/>
      <c r="AI5" s="45" t="n"/>
      <c r="AJ5" s="45">
        <f>鉄骨鉄筋コンクリート造!AX7</f>
        <v/>
      </c>
      <c r="AK5" s="45" t="n"/>
      <c r="AL5" s="45" t="n"/>
      <c r="AM5" s="45">
        <f>鉄骨鉄筋コンクリート造!BB7</f>
        <v/>
      </c>
      <c r="AN5" s="45" t="n"/>
      <c r="AO5" s="45" t="n"/>
      <c r="AP5" s="45">
        <f>鉄骨鉄筋コンクリート造!BF7</f>
        <v/>
      </c>
      <c r="AQ5" s="45" t="n"/>
      <c r="AR5" s="45" t="n"/>
      <c r="AS5" s="45">
        <f>鉄骨鉄筋コンクリート造!BJ7</f>
        <v/>
      </c>
    </row>
    <row r="6">
      <c r="B6" s="2" t="inlineStr">
        <is>
          <t>倉庫</t>
        </is>
      </c>
      <c r="C6" s="45">
        <f>鉄骨鉄筋コンクリート造!F8</f>
        <v/>
      </c>
      <c r="F6" s="45">
        <f>鉄骨鉄筋コンクリート造!J8</f>
        <v/>
      </c>
      <c r="G6" s="45" t="n"/>
      <c r="H6" s="45" t="n"/>
      <c r="I6" s="45">
        <f>鉄骨鉄筋コンクリート造!N8</f>
        <v/>
      </c>
      <c r="J6" s="45" t="n"/>
      <c r="K6" s="45" t="n"/>
      <c r="L6" s="45">
        <f>鉄骨鉄筋コンクリート造!R8</f>
        <v/>
      </c>
      <c r="M6" s="45" t="n"/>
      <c r="N6" s="45" t="n"/>
      <c r="O6" s="45">
        <f>鉄骨鉄筋コンクリート造!V8</f>
        <v/>
      </c>
      <c r="P6" s="45" t="n"/>
      <c r="Q6" s="45" t="n"/>
      <c r="R6" s="45">
        <f>鉄骨鉄筋コンクリート造!Z8</f>
        <v/>
      </c>
      <c r="S6" s="45" t="n"/>
      <c r="T6" s="45" t="n"/>
      <c r="U6" s="45">
        <f>鉄骨鉄筋コンクリート造!AD8</f>
        <v/>
      </c>
      <c r="V6" s="45" t="n"/>
      <c r="W6" s="45" t="n"/>
      <c r="X6" s="45">
        <f>鉄骨鉄筋コンクリート造!AH8</f>
        <v/>
      </c>
      <c r="Y6" s="45" t="n"/>
      <c r="Z6" s="45" t="n"/>
      <c r="AA6" s="45">
        <f>鉄骨鉄筋コンクリート造!AL8</f>
        <v/>
      </c>
      <c r="AB6" s="45" t="n"/>
      <c r="AC6" s="45" t="n"/>
      <c r="AD6" s="45">
        <f>鉄骨鉄筋コンクリート造!AP8</f>
        <v/>
      </c>
      <c r="AE6" s="45" t="n"/>
      <c r="AF6" s="45" t="n"/>
      <c r="AG6" s="45">
        <f>鉄骨鉄筋コンクリート造!AT8</f>
        <v/>
      </c>
      <c r="AH6" s="45" t="n"/>
      <c r="AI6" s="45" t="n"/>
      <c r="AJ6" s="45">
        <f>鉄骨鉄筋コンクリート造!AX8</f>
        <v/>
      </c>
      <c r="AK6" s="45" t="n"/>
      <c r="AL6" s="45" t="n"/>
      <c r="AM6" s="45">
        <f>鉄骨鉄筋コンクリート造!BB8</f>
        <v/>
      </c>
      <c r="AN6" s="45" t="n"/>
      <c r="AO6" s="45" t="n"/>
      <c r="AP6" s="45">
        <f>鉄骨鉄筋コンクリート造!BF8</f>
        <v/>
      </c>
      <c r="AQ6" s="45" t="n"/>
      <c r="AR6" s="45" t="n"/>
      <c r="AS6" s="45">
        <f>鉄骨鉄筋コンクリート造!BJ8</f>
        <v/>
      </c>
    </row>
    <row r="7">
      <c r="B7" s="2" t="inlineStr">
        <is>
          <t>学校の校舎</t>
        </is>
      </c>
      <c r="C7" s="45">
        <f>鉄骨鉄筋コンクリート造!F9</f>
        <v/>
      </c>
      <c r="F7" s="45">
        <f>鉄骨鉄筋コンクリート造!J9</f>
        <v/>
      </c>
      <c r="G7" s="45" t="n"/>
      <c r="H7" s="45" t="n"/>
      <c r="I7" s="45">
        <f>鉄骨鉄筋コンクリート造!N9</f>
        <v/>
      </c>
      <c r="J7" s="45" t="n"/>
      <c r="K7" s="45" t="n"/>
      <c r="L7" s="45">
        <f>鉄骨鉄筋コンクリート造!R9</f>
        <v/>
      </c>
      <c r="M7" s="45" t="n"/>
      <c r="N7" s="45" t="n"/>
      <c r="O7" s="45">
        <f>鉄骨鉄筋コンクリート造!V9</f>
        <v/>
      </c>
      <c r="P7" s="45" t="n"/>
      <c r="Q7" s="45" t="n"/>
      <c r="R7" s="45">
        <f>鉄骨鉄筋コンクリート造!Z9</f>
        <v/>
      </c>
      <c r="S7" s="45" t="n"/>
      <c r="T7" s="45" t="n"/>
      <c r="U7" s="45">
        <f>鉄骨鉄筋コンクリート造!AD9</f>
        <v/>
      </c>
      <c r="V7" s="45" t="n"/>
      <c r="W7" s="45" t="n"/>
      <c r="X7" s="45">
        <f>鉄骨鉄筋コンクリート造!AH9</f>
        <v/>
      </c>
      <c r="Y7" s="45" t="n"/>
      <c r="Z7" s="45" t="n"/>
      <c r="AA7" s="45">
        <f>鉄骨鉄筋コンクリート造!AL9</f>
        <v/>
      </c>
      <c r="AB7" s="45" t="n"/>
      <c r="AC7" s="45" t="n"/>
      <c r="AD7" s="45">
        <f>鉄骨鉄筋コンクリート造!AP9</f>
        <v/>
      </c>
      <c r="AE7" s="45" t="n"/>
      <c r="AF7" s="45" t="n"/>
      <c r="AG7" s="45">
        <f>鉄骨鉄筋コンクリート造!AT9</f>
        <v/>
      </c>
      <c r="AH7" s="45" t="n"/>
      <c r="AI7" s="45" t="n"/>
      <c r="AJ7" s="45">
        <f>鉄骨鉄筋コンクリート造!AX9</f>
        <v/>
      </c>
      <c r="AK7" s="45" t="n"/>
      <c r="AL7" s="45" t="n"/>
      <c r="AM7" s="45">
        <f>鉄骨鉄筋コンクリート造!BB9</f>
        <v/>
      </c>
      <c r="AN7" s="45" t="n"/>
      <c r="AO7" s="45" t="n"/>
      <c r="AP7" s="45">
        <f>鉄骨鉄筋コンクリート造!BF9</f>
        <v/>
      </c>
      <c r="AQ7" s="45" t="n"/>
      <c r="AR7" s="45" t="n"/>
      <c r="AS7" s="45">
        <f>鉄骨鉄筋コンクリート造!BJ9</f>
        <v/>
      </c>
    </row>
    <row r="8">
      <c r="B8" s="2" t="inlineStr">
        <is>
          <t>病院・診療所</t>
        </is>
      </c>
      <c r="C8" s="45">
        <f>鉄骨鉄筋コンクリート造!F10</f>
        <v/>
      </c>
      <c r="F8" s="45">
        <f>鉄骨鉄筋コンクリート造!J10</f>
        <v/>
      </c>
      <c r="G8" s="45" t="n"/>
      <c r="H8" s="45" t="n"/>
      <c r="I8" s="45">
        <f>鉄骨鉄筋コンクリート造!N10</f>
        <v/>
      </c>
      <c r="J8" s="45" t="n"/>
      <c r="K8" s="45" t="n"/>
      <c r="L8" s="45">
        <f>鉄骨鉄筋コンクリート造!R10</f>
        <v/>
      </c>
      <c r="M8" s="45" t="n"/>
      <c r="N8" s="45" t="n"/>
      <c r="O8" s="45">
        <f>鉄骨鉄筋コンクリート造!V10</f>
        <v/>
      </c>
      <c r="P8" s="45" t="n"/>
      <c r="Q8" s="45" t="n"/>
      <c r="R8" s="45">
        <f>鉄骨鉄筋コンクリート造!Z10</f>
        <v/>
      </c>
      <c r="S8" s="45" t="n"/>
      <c r="T8" s="45" t="n"/>
      <c r="U8" s="45">
        <f>鉄骨鉄筋コンクリート造!AD10</f>
        <v/>
      </c>
      <c r="V8" s="45" t="n"/>
      <c r="W8" s="45" t="n"/>
      <c r="X8" s="45">
        <f>鉄骨鉄筋コンクリート造!AH10</f>
        <v/>
      </c>
      <c r="Y8" s="45" t="n"/>
      <c r="Z8" s="45" t="n"/>
      <c r="AA8" s="45">
        <f>鉄骨鉄筋コンクリート造!AL10</f>
        <v/>
      </c>
      <c r="AB8" s="45" t="n"/>
      <c r="AC8" s="45" t="n"/>
      <c r="AD8" s="45">
        <f>鉄骨鉄筋コンクリート造!AP10</f>
        <v/>
      </c>
      <c r="AE8" s="45" t="n"/>
      <c r="AF8" s="45" t="n"/>
      <c r="AG8" s="45">
        <f>鉄骨鉄筋コンクリート造!AT10</f>
        <v/>
      </c>
      <c r="AH8" s="45" t="n"/>
      <c r="AI8" s="45" t="n"/>
      <c r="AJ8" s="45">
        <f>鉄骨鉄筋コンクリート造!AX10</f>
        <v/>
      </c>
      <c r="AK8" s="45" t="n"/>
      <c r="AL8" s="45" t="n"/>
      <c r="AM8" s="45">
        <f>鉄骨鉄筋コンクリート造!BB10</f>
        <v/>
      </c>
      <c r="AN8" s="45" t="n"/>
      <c r="AO8" s="45" t="n"/>
      <c r="AP8" s="45">
        <f>鉄骨鉄筋コンクリート造!BF10</f>
        <v/>
      </c>
      <c r="AQ8" s="45" t="n"/>
      <c r="AR8" s="45" t="n"/>
      <c r="AS8" s="45">
        <f>鉄骨鉄筋コンクリート造!BJ10</f>
        <v/>
      </c>
    </row>
    <row r="9">
      <c r="B9" s="2" t="inlineStr">
        <is>
          <t>その他</t>
        </is>
      </c>
      <c r="C9" s="45">
        <f>鉄骨鉄筋コンクリート造!F11</f>
        <v/>
      </c>
      <c r="F9" s="45">
        <f>鉄骨鉄筋コンクリート造!J11</f>
        <v/>
      </c>
      <c r="G9" s="45" t="n"/>
      <c r="H9" s="45" t="n"/>
      <c r="I9" s="45">
        <f>鉄骨鉄筋コンクリート造!N11</f>
        <v/>
      </c>
      <c r="J9" s="45" t="n"/>
      <c r="K9" s="45" t="n"/>
      <c r="L9" s="45">
        <f>鉄骨鉄筋コンクリート造!R11</f>
        <v/>
      </c>
      <c r="M9" s="45" t="n"/>
      <c r="N9" s="45" t="n"/>
      <c r="O9" s="45">
        <f>鉄骨鉄筋コンクリート造!V11</f>
        <v/>
      </c>
      <c r="P9" s="45" t="n"/>
      <c r="Q9" s="45" t="n"/>
      <c r="R9" s="45">
        <f>鉄骨鉄筋コンクリート造!Z11</f>
        <v/>
      </c>
      <c r="S9" s="45" t="n"/>
      <c r="T9" s="45" t="n"/>
      <c r="U9" s="45">
        <f>鉄骨鉄筋コンクリート造!AD11</f>
        <v/>
      </c>
      <c r="V9" s="45" t="n"/>
      <c r="W9" s="45" t="n"/>
      <c r="X9" s="45">
        <f>鉄骨鉄筋コンクリート造!AH11</f>
        <v/>
      </c>
      <c r="Y9" s="45" t="n"/>
      <c r="Z9" s="45" t="n"/>
      <c r="AA9" s="45">
        <f>鉄骨鉄筋コンクリート造!AL11</f>
        <v/>
      </c>
      <c r="AB9" s="45" t="n"/>
      <c r="AC9" s="45" t="n"/>
      <c r="AD9" s="45">
        <f>鉄骨鉄筋コンクリート造!AP11</f>
        <v/>
      </c>
      <c r="AE9" s="45" t="n"/>
      <c r="AF9" s="45" t="n"/>
      <c r="AG9" s="45">
        <f>鉄骨鉄筋コンクリート造!AT11</f>
        <v/>
      </c>
      <c r="AH9" s="45" t="n"/>
      <c r="AI9" s="45" t="n"/>
      <c r="AJ9" s="45">
        <f>鉄骨鉄筋コンクリート造!AX11</f>
        <v/>
      </c>
      <c r="AK9" s="45" t="n"/>
      <c r="AL9" s="45" t="n"/>
      <c r="AM9" s="45">
        <f>鉄骨鉄筋コンクリート造!BB11</f>
        <v/>
      </c>
      <c r="AN9" s="45" t="n"/>
      <c r="AO9" s="45" t="n"/>
      <c r="AP9" s="45">
        <f>鉄骨鉄筋コンクリート造!BF11</f>
        <v/>
      </c>
      <c r="AQ9" s="45" t="n"/>
      <c r="AR9" s="45" t="n"/>
      <c r="AS9" s="45">
        <f>鉄骨鉄筋コンクリート造!BJ11</f>
        <v/>
      </c>
    </row>
    <row r="11" ht="19.8" customHeight="1">
      <c r="A11" s="1" t="inlineStr">
        <is>
          <t>鉄筋コンクリート造</t>
        </is>
      </c>
    </row>
    <row r="12" customFormat="1" s="19">
      <c r="C12" s="19" t="n">
        <v>2015</v>
      </c>
      <c r="D12" s="22" t="n"/>
      <c r="F12" s="19" t="inlineStr">
        <is>
          <t>R4.2</t>
        </is>
      </c>
      <c r="I12" s="19" t="inlineStr">
        <is>
          <t>R4.5</t>
        </is>
      </c>
      <c r="L12" s="19" t="inlineStr">
        <is>
          <t>R4.8</t>
        </is>
      </c>
      <c r="O12" s="19" t="inlineStr">
        <is>
          <t>R4.11</t>
        </is>
      </c>
      <c r="R12" s="19" t="inlineStr">
        <is>
          <t>R5.2</t>
        </is>
      </c>
      <c r="U12" s="19" t="inlineStr">
        <is>
          <t>R5.5</t>
        </is>
      </c>
      <c r="X12" s="19" t="inlineStr">
        <is>
          <t>R5.8</t>
        </is>
      </c>
      <c r="AA12" s="19" t="inlineStr">
        <is>
          <t>R5.11</t>
        </is>
      </c>
      <c r="AD12" s="19" t="inlineStr">
        <is>
          <t>R6.2</t>
        </is>
      </c>
      <c r="AG12" s="19" t="inlineStr">
        <is>
          <t>R6.5</t>
        </is>
      </c>
      <c r="AJ12" s="19" t="inlineStr">
        <is>
          <t>R6.8</t>
        </is>
      </c>
      <c r="AM12" s="19" t="inlineStr">
        <is>
          <t>R6.11</t>
        </is>
      </c>
      <c r="AO12" s="19" t="inlineStr">
        <is>
          <t>R7.1</t>
        </is>
      </c>
      <c r="AP12" s="19" t="inlineStr">
        <is>
          <t>R7.2</t>
        </is>
      </c>
      <c r="AQ12" s="19" t="inlineStr">
        <is>
          <t>R7.3</t>
        </is>
      </c>
      <c r="AR12" s="19" t="inlineStr">
        <is>
          <t>R7.4</t>
        </is>
      </c>
      <c r="AS12" s="19" t="inlineStr">
        <is>
          <t>R7.5</t>
        </is>
      </c>
    </row>
    <row r="13">
      <c r="B13" s="2" t="inlineStr">
        <is>
          <t>事務所</t>
        </is>
      </c>
      <c r="C13" s="45">
        <f>鉄筋コンクリート造!F5</f>
        <v/>
      </c>
      <c r="F13" s="45">
        <f>鉄筋コンクリート造!J5</f>
        <v/>
      </c>
      <c r="G13" s="45" t="n"/>
      <c r="H13" s="45" t="n"/>
      <c r="I13" s="45">
        <f>鉄筋コンクリート造!N5</f>
        <v/>
      </c>
      <c r="J13" s="45" t="n"/>
      <c r="K13" s="45" t="n"/>
      <c r="L13" s="45">
        <f>鉄筋コンクリート造!R5</f>
        <v/>
      </c>
      <c r="M13" s="45" t="n"/>
      <c r="N13" s="45" t="n"/>
      <c r="O13" s="45">
        <f>鉄筋コンクリート造!V5</f>
        <v/>
      </c>
      <c r="P13" s="45" t="n"/>
      <c r="Q13" s="45" t="n"/>
      <c r="R13" s="45">
        <f>鉄筋コンクリート造!Z5</f>
        <v/>
      </c>
      <c r="S13" s="45" t="n"/>
      <c r="T13" s="45" t="n"/>
      <c r="U13" s="45">
        <f>鉄筋コンクリート造!AD5</f>
        <v/>
      </c>
      <c r="V13" s="45" t="n"/>
      <c r="W13" s="45" t="n"/>
      <c r="X13" s="45">
        <f>鉄筋コンクリート造!AH5</f>
        <v/>
      </c>
      <c r="Y13" s="45" t="n"/>
      <c r="Z13" s="45" t="n"/>
      <c r="AA13" s="45">
        <f>鉄筋コンクリート造!AL5</f>
        <v/>
      </c>
      <c r="AB13" s="45" t="n"/>
      <c r="AC13" s="45" t="n"/>
      <c r="AD13" s="45">
        <f>鉄筋コンクリート造!AP5</f>
        <v/>
      </c>
      <c r="AE13" s="45" t="n"/>
      <c r="AF13" s="45" t="n"/>
      <c r="AG13" s="45">
        <f>鉄筋コンクリート造!AT5</f>
        <v/>
      </c>
      <c r="AH13" s="45" t="n"/>
      <c r="AI13" s="45" t="n"/>
      <c r="AJ13" s="45">
        <f>鉄筋コンクリート造!AX5</f>
        <v/>
      </c>
      <c r="AK13" s="45" t="n"/>
      <c r="AL13" s="45" t="n"/>
      <c r="AM13" s="45">
        <f>鉄筋コンクリート造!BB5</f>
        <v/>
      </c>
      <c r="AN13" s="45" t="n"/>
      <c r="AO13" s="45" t="n"/>
      <c r="AP13" s="45">
        <f>鉄筋コンクリート造!BF5</f>
        <v/>
      </c>
      <c r="AQ13" s="45" t="n"/>
      <c r="AR13" s="45" t="n"/>
      <c r="AS13" s="45">
        <f>鉄筋コンクリート造!BJ5</f>
        <v/>
      </c>
    </row>
    <row r="14" customFormat="1" s="23">
      <c r="B14" s="24" t="inlineStr">
        <is>
          <t>指数化</t>
        </is>
      </c>
      <c r="C14" s="46" t="n">
        <v>100</v>
      </c>
      <c r="D14" s="24" t="n"/>
      <c r="F14" s="46">
        <f>F13/$C$13*100</f>
        <v/>
      </c>
      <c r="G14" s="46" t="n"/>
      <c r="H14" s="46" t="n"/>
      <c r="I14" s="46">
        <f>I13/$C$13*100</f>
        <v/>
      </c>
      <c r="J14" s="46" t="n"/>
      <c r="K14" s="46" t="n"/>
      <c r="L14" s="46">
        <f>L13/$C$13*100</f>
        <v/>
      </c>
      <c r="M14" s="46" t="n"/>
      <c r="N14" s="46" t="n"/>
      <c r="O14" s="46">
        <f>O13/$C$13*100</f>
        <v/>
      </c>
      <c r="P14" s="46" t="n"/>
      <c r="Q14" s="46" t="n"/>
      <c r="R14" s="46">
        <f>R13/$C$13*100</f>
        <v/>
      </c>
      <c r="S14" s="46" t="n"/>
      <c r="T14" s="46" t="n"/>
      <c r="U14" s="46">
        <f>U13/$C$13*100</f>
        <v/>
      </c>
      <c r="V14" s="46" t="n"/>
      <c r="W14" s="46" t="n"/>
      <c r="X14" s="46">
        <f>X13/$C$13*100</f>
        <v/>
      </c>
      <c r="Y14" s="46" t="n"/>
      <c r="Z14" s="46" t="n"/>
      <c r="AA14" s="46">
        <f>AA13/$C$13*100</f>
        <v/>
      </c>
      <c r="AB14" s="46" t="n"/>
      <c r="AC14" s="46" t="n"/>
      <c r="AD14" s="46">
        <f>AD13/$C$13*100</f>
        <v/>
      </c>
      <c r="AE14" s="46" t="n"/>
      <c r="AF14" s="46" t="n"/>
      <c r="AG14" s="46">
        <f>AG13/$C$13*100</f>
        <v/>
      </c>
      <c r="AH14" s="46" t="n"/>
      <c r="AI14" s="46" t="n"/>
      <c r="AJ14" s="46">
        <f>AJ13/$C$13*100</f>
        <v/>
      </c>
      <c r="AK14" s="46" t="n"/>
      <c r="AL14" s="46" t="n"/>
      <c r="AM14" s="46">
        <f>AM13/$C$13*100</f>
        <v/>
      </c>
      <c r="AN14" s="46" t="n"/>
      <c r="AO14" s="46" t="n"/>
      <c r="AP14" s="46">
        <f>AP13/$C$13*100</f>
        <v/>
      </c>
      <c r="AQ14" s="46" t="n"/>
      <c r="AR14" s="46" t="n"/>
      <c r="AS14" s="46">
        <f>AS13/$C$13*100</f>
        <v/>
      </c>
    </row>
    <row r="15">
      <c r="B15" s="2" t="inlineStr">
        <is>
          <t>店舗</t>
        </is>
      </c>
      <c r="C15" s="45">
        <f>鉄筋コンクリート造!F6</f>
        <v/>
      </c>
      <c r="F15" s="45">
        <f>鉄筋コンクリート造!J6</f>
        <v/>
      </c>
      <c r="G15" s="45" t="n"/>
      <c r="H15" s="45" t="n"/>
      <c r="I15" s="45">
        <f>鉄筋コンクリート造!N6</f>
        <v/>
      </c>
      <c r="J15" s="45" t="n"/>
      <c r="K15" s="45" t="n"/>
      <c r="L15" s="45">
        <f>鉄筋コンクリート造!R6</f>
        <v/>
      </c>
      <c r="M15" s="45" t="n"/>
      <c r="N15" s="45" t="n"/>
      <c r="O15" s="45">
        <f>鉄筋コンクリート造!V6</f>
        <v/>
      </c>
      <c r="P15" s="45" t="n"/>
      <c r="Q15" s="45" t="n"/>
      <c r="R15" s="45">
        <f>鉄筋コンクリート造!Z6</f>
        <v/>
      </c>
      <c r="S15" s="45" t="n"/>
      <c r="T15" s="45" t="n"/>
      <c r="U15" s="45">
        <f>鉄筋コンクリート造!AD6</f>
        <v/>
      </c>
      <c r="V15" s="45" t="n"/>
      <c r="W15" s="45" t="n"/>
      <c r="X15" s="45">
        <f>鉄筋コンクリート造!AH6</f>
        <v/>
      </c>
      <c r="Y15" s="45" t="n"/>
      <c r="Z15" s="45" t="n"/>
      <c r="AA15" s="45">
        <f>鉄筋コンクリート造!AL6</f>
        <v/>
      </c>
      <c r="AB15" s="45" t="n"/>
      <c r="AC15" s="45" t="n"/>
      <c r="AD15" s="45">
        <f>鉄筋コンクリート造!AP6</f>
        <v/>
      </c>
      <c r="AE15" s="45" t="n"/>
      <c r="AF15" s="45" t="n"/>
      <c r="AG15" s="45">
        <f>鉄筋コンクリート造!AT6</f>
        <v/>
      </c>
      <c r="AH15" s="45" t="n"/>
      <c r="AI15" s="45" t="n"/>
      <c r="AJ15" s="45">
        <f>鉄筋コンクリート造!AX6</f>
        <v/>
      </c>
      <c r="AK15" s="45" t="n"/>
      <c r="AL15" s="45" t="n"/>
      <c r="AM15" s="45">
        <f>鉄筋コンクリート造!BB6</f>
        <v/>
      </c>
      <c r="AN15" s="45" t="n"/>
      <c r="AO15" s="45" t="n"/>
      <c r="AP15" s="45">
        <f>鉄筋コンクリート造!BF6</f>
        <v/>
      </c>
      <c r="AQ15" s="45" t="n"/>
      <c r="AR15" s="45" t="n"/>
      <c r="AS15" s="45">
        <f>鉄筋コンクリート造!BJ6</f>
        <v/>
      </c>
    </row>
    <row r="16">
      <c r="B16" s="2" t="inlineStr">
        <is>
          <t>工場及び作業場</t>
        </is>
      </c>
      <c r="C16" s="45">
        <f>鉄筋コンクリート造!F7</f>
        <v/>
      </c>
      <c r="F16" s="45">
        <f>鉄筋コンクリート造!J7</f>
        <v/>
      </c>
      <c r="G16" s="45" t="n"/>
      <c r="H16" s="45" t="n"/>
      <c r="I16" s="45">
        <f>鉄筋コンクリート造!N7</f>
        <v/>
      </c>
      <c r="J16" s="45" t="n"/>
      <c r="K16" s="45" t="n"/>
      <c r="L16" s="45">
        <f>鉄筋コンクリート造!R7</f>
        <v/>
      </c>
      <c r="M16" s="45" t="n"/>
      <c r="N16" s="45" t="n"/>
      <c r="O16" s="45">
        <f>鉄筋コンクリート造!V7</f>
        <v/>
      </c>
      <c r="P16" s="45" t="n"/>
      <c r="Q16" s="45" t="n"/>
      <c r="R16" s="45">
        <f>鉄筋コンクリート造!Z7</f>
        <v/>
      </c>
      <c r="S16" s="45" t="n"/>
      <c r="T16" s="45" t="n"/>
      <c r="U16" s="45">
        <f>鉄筋コンクリート造!AD7</f>
        <v/>
      </c>
      <c r="V16" s="45" t="n"/>
      <c r="W16" s="45" t="n"/>
      <c r="X16" s="45">
        <f>鉄筋コンクリート造!AH7</f>
        <v/>
      </c>
      <c r="Y16" s="45" t="n"/>
      <c r="Z16" s="45" t="n"/>
      <c r="AA16" s="45">
        <f>鉄筋コンクリート造!AL7</f>
        <v/>
      </c>
      <c r="AB16" s="45" t="n"/>
      <c r="AC16" s="45" t="n"/>
      <c r="AD16" s="45">
        <f>鉄筋コンクリート造!AP7</f>
        <v/>
      </c>
      <c r="AE16" s="45" t="n"/>
      <c r="AF16" s="45" t="n"/>
      <c r="AG16" s="45">
        <f>鉄筋コンクリート造!AT7</f>
        <v/>
      </c>
      <c r="AH16" s="45" t="n"/>
      <c r="AI16" s="45" t="n"/>
      <c r="AJ16" s="45">
        <f>鉄筋コンクリート造!AX7</f>
        <v/>
      </c>
      <c r="AK16" s="45" t="n"/>
      <c r="AL16" s="45" t="n"/>
      <c r="AM16" s="45">
        <f>鉄筋コンクリート造!BB7</f>
        <v/>
      </c>
      <c r="AN16" s="45" t="n"/>
      <c r="AO16" s="45" t="n"/>
      <c r="AP16" s="45">
        <f>鉄筋コンクリート造!BF7</f>
        <v/>
      </c>
      <c r="AQ16" s="45" t="n"/>
      <c r="AR16" s="45" t="n"/>
      <c r="AS16" s="45">
        <f>鉄筋コンクリート造!BJ7</f>
        <v/>
      </c>
    </row>
    <row r="17">
      <c r="B17" s="2" t="inlineStr">
        <is>
          <t>倉庫</t>
        </is>
      </c>
      <c r="C17" s="45">
        <f>鉄筋コンクリート造!F8</f>
        <v/>
      </c>
      <c r="F17" s="45">
        <f>鉄筋コンクリート造!J8</f>
        <v/>
      </c>
      <c r="G17" s="45" t="n"/>
      <c r="H17" s="45" t="n"/>
      <c r="I17" s="45">
        <f>鉄筋コンクリート造!N8</f>
        <v/>
      </c>
      <c r="J17" s="45" t="n"/>
      <c r="K17" s="45" t="n"/>
      <c r="L17" s="45">
        <f>鉄筋コンクリート造!R8</f>
        <v/>
      </c>
      <c r="M17" s="45" t="n"/>
      <c r="N17" s="45" t="n"/>
      <c r="O17" s="45">
        <f>鉄筋コンクリート造!V8</f>
        <v/>
      </c>
      <c r="P17" s="45" t="n"/>
      <c r="Q17" s="45" t="n"/>
      <c r="R17" s="45">
        <f>鉄筋コンクリート造!Z8</f>
        <v/>
      </c>
      <c r="S17" s="45" t="n"/>
      <c r="T17" s="45" t="n"/>
      <c r="U17" s="45">
        <f>鉄筋コンクリート造!AD8</f>
        <v/>
      </c>
      <c r="V17" s="45" t="n"/>
      <c r="W17" s="45" t="n"/>
      <c r="X17" s="45">
        <f>鉄筋コンクリート造!AH8</f>
        <v/>
      </c>
      <c r="Y17" s="45" t="n"/>
      <c r="Z17" s="45" t="n"/>
      <c r="AA17" s="45">
        <f>鉄筋コンクリート造!AL8</f>
        <v/>
      </c>
      <c r="AB17" s="45" t="n"/>
      <c r="AC17" s="45" t="n"/>
      <c r="AD17" s="45">
        <f>鉄筋コンクリート造!AP8</f>
        <v/>
      </c>
      <c r="AE17" s="45" t="n"/>
      <c r="AF17" s="45" t="n"/>
      <c r="AG17" s="45">
        <f>鉄筋コンクリート造!AT8</f>
        <v/>
      </c>
      <c r="AH17" s="45" t="n"/>
      <c r="AI17" s="45" t="n"/>
      <c r="AJ17" s="45">
        <f>鉄筋コンクリート造!AX8</f>
        <v/>
      </c>
      <c r="AK17" s="45" t="n"/>
      <c r="AL17" s="45" t="n"/>
      <c r="AM17" s="45">
        <f>鉄筋コンクリート造!BB8</f>
        <v/>
      </c>
      <c r="AN17" s="45" t="n"/>
      <c r="AO17" s="45" t="n"/>
      <c r="AP17" s="45">
        <f>鉄筋コンクリート造!BF8</f>
        <v/>
      </c>
      <c r="AQ17" s="45" t="n"/>
      <c r="AR17" s="45" t="n"/>
      <c r="AS17" s="45">
        <f>鉄筋コンクリート造!BJ8</f>
        <v/>
      </c>
    </row>
    <row r="18">
      <c r="B18" s="2" t="inlineStr">
        <is>
          <t>学校の校舎</t>
        </is>
      </c>
      <c r="C18" s="45">
        <f>鉄筋コンクリート造!F9</f>
        <v/>
      </c>
      <c r="F18" s="45">
        <f>鉄筋コンクリート造!J9</f>
        <v/>
      </c>
      <c r="G18" s="45" t="n"/>
      <c r="H18" s="45" t="n"/>
      <c r="I18" s="45">
        <f>鉄筋コンクリート造!N9</f>
        <v/>
      </c>
      <c r="J18" s="45" t="n"/>
      <c r="K18" s="45" t="n"/>
      <c r="L18" s="45">
        <f>鉄筋コンクリート造!R9</f>
        <v/>
      </c>
      <c r="M18" s="45" t="n"/>
      <c r="N18" s="45" t="n"/>
      <c r="O18" s="45">
        <f>鉄筋コンクリート造!V9</f>
        <v/>
      </c>
      <c r="P18" s="45" t="n"/>
      <c r="Q18" s="45" t="n"/>
      <c r="R18" s="45">
        <f>鉄筋コンクリート造!Z9</f>
        <v/>
      </c>
      <c r="S18" s="45" t="n"/>
      <c r="T18" s="45" t="n"/>
      <c r="U18" s="45">
        <f>鉄筋コンクリート造!AD9</f>
        <v/>
      </c>
      <c r="V18" s="45" t="n"/>
      <c r="W18" s="45" t="n"/>
      <c r="X18" s="45">
        <f>鉄筋コンクリート造!AH9</f>
        <v/>
      </c>
      <c r="Y18" s="45" t="n"/>
      <c r="Z18" s="45" t="n"/>
      <c r="AA18" s="45">
        <f>鉄筋コンクリート造!AL9</f>
        <v/>
      </c>
      <c r="AB18" s="45" t="n"/>
      <c r="AC18" s="45" t="n"/>
      <c r="AD18" s="45">
        <f>鉄筋コンクリート造!AP9</f>
        <v/>
      </c>
      <c r="AE18" s="45" t="n"/>
      <c r="AF18" s="45" t="n"/>
      <c r="AG18" s="45">
        <f>鉄筋コンクリート造!AT9</f>
        <v/>
      </c>
      <c r="AH18" s="45" t="n"/>
      <c r="AI18" s="45" t="n"/>
      <c r="AJ18" s="45">
        <f>鉄筋コンクリート造!AX9</f>
        <v/>
      </c>
      <c r="AK18" s="45" t="n"/>
      <c r="AL18" s="45" t="n"/>
      <c r="AM18" s="45">
        <f>鉄筋コンクリート造!BB9</f>
        <v/>
      </c>
      <c r="AN18" s="45" t="n"/>
      <c r="AO18" s="45" t="n"/>
      <c r="AP18" s="45">
        <f>鉄筋コンクリート造!BF9</f>
        <v/>
      </c>
      <c r="AQ18" s="45" t="n"/>
      <c r="AR18" s="45" t="n"/>
      <c r="AS18" s="45">
        <f>鉄筋コンクリート造!BJ9</f>
        <v/>
      </c>
    </row>
    <row r="19">
      <c r="B19" s="2" t="inlineStr">
        <is>
          <t>病院・診療所</t>
        </is>
      </c>
      <c r="C19" s="45">
        <f>鉄筋コンクリート造!F10</f>
        <v/>
      </c>
      <c r="F19" s="45">
        <f>鉄筋コンクリート造!J10</f>
        <v/>
      </c>
      <c r="G19" s="45" t="n"/>
      <c r="H19" s="45" t="n"/>
      <c r="I19" s="45">
        <f>鉄筋コンクリート造!N10</f>
        <v/>
      </c>
      <c r="J19" s="45" t="n"/>
      <c r="K19" s="45" t="n"/>
      <c r="L19" s="45">
        <f>鉄筋コンクリート造!R10</f>
        <v/>
      </c>
      <c r="M19" s="45" t="n"/>
      <c r="N19" s="45" t="n"/>
      <c r="O19" s="45">
        <f>鉄筋コンクリート造!V10</f>
        <v/>
      </c>
      <c r="P19" s="45" t="n"/>
      <c r="Q19" s="45" t="n"/>
      <c r="R19" s="45">
        <f>鉄筋コンクリート造!Z10</f>
        <v/>
      </c>
      <c r="S19" s="45" t="n"/>
      <c r="T19" s="45" t="n"/>
      <c r="U19" s="45">
        <f>鉄筋コンクリート造!AD10</f>
        <v/>
      </c>
      <c r="V19" s="45" t="n"/>
      <c r="W19" s="45" t="n"/>
      <c r="X19" s="45">
        <f>鉄筋コンクリート造!AH10</f>
        <v/>
      </c>
      <c r="Y19" s="45" t="n"/>
      <c r="Z19" s="45" t="n"/>
      <c r="AA19" s="45">
        <f>鉄筋コンクリート造!AL10</f>
        <v/>
      </c>
      <c r="AB19" s="45" t="n"/>
      <c r="AC19" s="45" t="n"/>
      <c r="AD19" s="45">
        <f>鉄筋コンクリート造!AP10</f>
        <v/>
      </c>
      <c r="AE19" s="45" t="n"/>
      <c r="AF19" s="45" t="n"/>
      <c r="AG19" s="45">
        <f>鉄筋コンクリート造!AT10</f>
        <v/>
      </c>
      <c r="AH19" s="45" t="n"/>
      <c r="AI19" s="45" t="n"/>
      <c r="AJ19" s="45">
        <f>鉄筋コンクリート造!AX10</f>
        <v/>
      </c>
      <c r="AK19" s="45" t="n"/>
      <c r="AL19" s="45" t="n"/>
      <c r="AM19" s="45">
        <f>鉄筋コンクリート造!BB10</f>
        <v/>
      </c>
      <c r="AN19" s="45" t="n"/>
      <c r="AO19" s="45" t="n"/>
      <c r="AP19" s="45">
        <f>鉄筋コンクリート造!BF10</f>
        <v/>
      </c>
      <c r="AQ19" s="45" t="n"/>
      <c r="AR19" s="45" t="n"/>
      <c r="AS19" s="45">
        <f>鉄筋コンクリート造!BJ10</f>
        <v/>
      </c>
    </row>
    <row r="20">
      <c r="B20" s="2" t="inlineStr">
        <is>
          <t>その他</t>
        </is>
      </c>
      <c r="C20" s="45">
        <f>鉄筋コンクリート造!F11</f>
        <v/>
      </c>
      <c r="F20" s="45">
        <f>鉄筋コンクリート造!J11</f>
        <v/>
      </c>
      <c r="G20" s="45" t="n"/>
      <c r="H20" s="45" t="n"/>
      <c r="I20" s="45">
        <f>鉄筋コンクリート造!N11</f>
        <v/>
      </c>
      <c r="J20" s="45" t="n"/>
      <c r="K20" s="45" t="n"/>
      <c r="L20" s="45">
        <f>鉄筋コンクリート造!R11</f>
        <v/>
      </c>
      <c r="M20" s="45" t="n"/>
      <c r="N20" s="45" t="n"/>
      <c r="O20" s="45">
        <f>鉄筋コンクリート造!V11</f>
        <v/>
      </c>
      <c r="P20" s="45" t="n"/>
      <c r="Q20" s="45" t="n"/>
      <c r="R20" s="45">
        <f>鉄筋コンクリート造!Z11</f>
        <v/>
      </c>
      <c r="S20" s="45" t="n"/>
      <c r="T20" s="45" t="n"/>
      <c r="U20" s="45">
        <f>鉄筋コンクリート造!AD11</f>
        <v/>
      </c>
      <c r="V20" s="45" t="n"/>
      <c r="W20" s="45" t="n"/>
      <c r="X20" s="45">
        <f>鉄筋コンクリート造!AH11</f>
        <v/>
      </c>
      <c r="Y20" s="45" t="n"/>
      <c r="Z20" s="45" t="n"/>
      <c r="AA20" s="45">
        <f>鉄筋コンクリート造!AL11</f>
        <v/>
      </c>
      <c r="AB20" s="45" t="n"/>
      <c r="AC20" s="45" t="n"/>
      <c r="AD20" s="45">
        <f>鉄筋コンクリート造!AP11</f>
        <v/>
      </c>
      <c r="AE20" s="45" t="n"/>
      <c r="AF20" s="45" t="n"/>
      <c r="AG20" s="45">
        <f>鉄筋コンクリート造!AT11</f>
        <v/>
      </c>
      <c r="AH20" s="45" t="n"/>
      <c r="AI20" s="45" t="n"/>
      <c r="AJ20" s="45">
        <f>鉄筋コンクリート造!AX11</f>
        <v/>
      </c>
      <c r="AK20" s="45" t="n"/>
      <c r="AL20" s="45" t="n"/>
      <c r="AM20" s="45">
        <f>鉄筋コンクリート造!BB11</f>
        <v/>
      </c>
      <c r="AN20" s="45" t="n"/>
      <c r="AO20" s="45" t="n"/>
      <c r="AP20" s="45">
        <f>鉄筋コンクリート造!BF11</f>
        <v/>
      </c>
      <c r="AQ20" s="45" t="n"/>
      <c r="AR20" s="45" t="n"/>
      <c r="AS20" s="45">
        <f>鉄筋コンクリート造!BJ11</f>
        <v/>
      </c>
    </row>
    <row r="22" ht="19.8" customHeight="1">
      <c r="A22" s="1" t="inlineStr">
        <is>
          <t>鉄骨造</t>
        </is>
      </c>
    </row>
    <row r="23" customFormat="1" s="19">
      <c r="C23" s="19" t="n">
        <v>2015</v>
      </c>
      <c r="D23" s="22" t="n"/>
      <c r="E23" s="19" t="inlineStr">
        <is>
          <t>R4.1</t>
        </is>
      </c>
      <c r="F23" s="19" t="inlineStr">
        <is>
          <t>R4.2</t>
        </is>
      </c>
      <c r="G23" s="19" t="inlineStr">
        <is>
          <t>R4.3</t>
        </is>
      </c>
      <c r="H23" s="19" t="inlineStr">
        <is>
          <t>R4.4</t>
        </is>
      </c>
      <c r="I23" s="19" t="inlineStr">
        <is>
          <t>R4.5</t>
        </is>
      </c>
      <c r="J23" s="19" t="inlineStr">
        <is>
          <t>R4.6</t>
        </is>
      </c>
      <c r="K23" s="19" t="inlineStr">
        <is>
          <t>R4.7</t>
        </is>
      </c>
      <c r="L23" s="19" t="inlineStr">
        <is>
          <t>R4.8</t>
        </is>
      </c>
      <c r="M23" s="19" t="inlineStr">
        <is>
          <t>R4.9</t>
        </is>
      </c>
      <c r="N23" s="19" t="inlineStr">
        <is>
          <t>R4.10</t>
        </is>
      </c>
      <c r="O23" s="19" t="inlineStr">
        <is>
          <t>R4.11</t>
        </is>
      </c>
      <c r="P23" s="19" t="inlineStr">
        <is>
          <t>R4.12</t>
        </is>
      </c>
      <c r="Q23" s="19" t="inlineStr">
        <is>
          <t>R5.1</t>
        </is>
      </c>
      <c r="R23" s="19" t="inlineStr">
        <is>
          <t>R5.2</t>
        </is>
      </c>
      <c r="S23" s="19" t="inlineStr">
        <is>
          <t>R5.3</t>
        </is>
      </c>
      <c r="T23" s="19" t="inlineStr">
        <is>
          <t>R5.4</t>
        </is>
      </c>
      <c r="U23" s="19" t="inlineStr">
        <is>
          <t>R5.5</t>
        </is>
      </c>
      <c r="V23" s="19" t="inlineStr">
        <is>
          <t>R5.6</t>
        </is>
      </c>
      <c r="W23" s="19" t="inlineStr">
        <is>
          <t>R5.7</t>
        </is>
      </c>
      <c r="X23" s="19" t="inlineStr">
        <is>
          <t>R5.8</t>
        </is>
      </c>
      <c r="Y23" s="19" t="inlineStr">
        <is>
          <t>R5.9</t>
        </is>
      </c>
      <c r="Z23" s="19" t="inlineStr">
        <is>
          <t>R5.10</t>
        </is>
      </c>
      <c r="AA23" s="19" t="inlineStr">
        <is>
          <t>R5.11</t>
        </is>
      </c>
      <c r="AB23" s="19" t="inlineStr">
        <is>
          <t>R5.12</t>
        </is>
      </c>
      <c r="AC23" s="19" t="inlineStr">
        <is>
          <t>R6.1</t>
        </is>
      </c>
      <c r="AD23" s="19" t="inlineStr">
        <is>
          <t>R6.2</t>
        </is>
      </c>
      <c r="AE23" s="19" t="inlineStr">
        <is>
          <t>R6.3</t>
        </is>
      </c>
      <c r="AF23" s="19" t="inlineStr">
        <is>
          <t>R6.4</t>
        </is>
      </c>
      <c r="AG23" s="19" t="inlineStr">
        <is>
          <t>R6.5</t>
        </is>
      </c>
      <c r="AH23" s="19" t="inlineStr">
        <is>
          <t>R6.6</t>
        </is>
      </c>
      <c r="AI23" s="19" t="inlineStr">
        <is>
          <t>R6.7</t>
        </is>
      </c>
      <c r="AJ23" s="19" t="inlineStr">
        <is>
          <t>R6.8</t>
        </is>
      </c>
      <c r="AK23" s="19" t="inlineStr">
        <is>
          <t>R6.9</t>
        </is>
      </c>
      <c r="AL23" s="19" t="inlineStr">
        <is>
          <t>R6.10</t>
        </is>
      </c>
      <c r="AM23" s="19" t="inlineStr">
        <is>
          <t>R6.11</t>
        </is>
      </c>
      <c r="AN23" s="19" t="inlineStr">
        <is>
          <t>R6.12</t>
        </is>
      </c>
      <c r="AO23" s="19" t="inlineStr">
        <is>
          <t>R7.1</t>
        </is>
      </c>
      <c r="AP23" s="19" t="inlineStr">
        <is>
          <t>R7.2</t>
        </is>
      </c>
      <c r="AQ23" s="19" t="inlineStr">
        <is>
          <t>R7.3</t>
        </is>
      </c>
      <c r="AR23" s="19" t="inlineStr">
        <is>
          <t>R7.4</t>
        </is>
      </c>
      <c r="AS23" s="19" t="inlineStr">
        <is>
          <t>R7.5</t>
        </is>
      </c>
    </row>
    <row r="24">
      <c r="B24" s="2" t="inlineStr">
        <is>
          <t>事務所</t>
        </is>
      </c>
      <c r="C24" s="45">
        <f>鉄骨造!F5</f>
        <v/>
      </c>
      <c r="E24" s="45">
        <f>鉄骨造!J5</f>
        <v/>
      </c>
      <c r="F24" s="45">
        <f>鉄骨造!N5</f>
        <v/>
      </c>
      <c r="G24" s="45">
        <f>鉄骨造!R5</f>
        <v/>
      </c>
      <c r="H24" s="45">
        <f>鉄骨造!V5</f>
        <v/>
      </c>
      <c r="I24" s="45">
        <f>鉄骨造!Z5</f>
        <v/>
      </c>
      <c r="J24" s="45">
        <f>鉄骨造!AD5</f>
        <v/>
      </c>
      <c r="K24" s="45">
        <f>鉄骨造!AH5</f>
        <v/>
      </c>
      <c r="L24" s="45">
        <f>鉄骨造!AL5</f>
        <v/>
      </c>
      <c r="M24" s="45">
        <f>鉄骨造!AP5</f>
        <v/>
      </c>
      <c r="N24" s="45">
        <f>鉄骨造!AT5</f>
        <v/>
      </c>
      <c r="O24" s="45">
        <f>鉄骨造!AX5</f>
        <v/>
      </c>
      <c r="P24" s="45">
        <f>鉄骨造!BB5</f>
        <v/>
      </c>
      <c r="Q24" s="45">
        <f>鉄骨造!BF5</f>
        <v/>
      </c>
      <c r="R24" s="45">
        <f>鉄骨造!BJ5</f>
        <v/>
      </c>
      <c r="S24" s="45">
        <f>鉄骨造!BN5</f>
        <v/>
      </c>
      <c r="T24" s="45">
        <f>鉄骨造!BR5</f>
        <v/>
      </c>
      <c r="U24" s="45">
        <f>鉄骨造!BV5</f>
        <v/>
      </c>
      <c r="V24" s="45">
        <f>鉄骨造!BZ5</f>
        <v/>
      </c>
      <c r="W24" s="45">
        <f>鉄骨造!CD5</f>
        <v/>
      </c>
      <c r="X24" s="45">
        <f>鉄骨造!CH5</f>
        <v/>
      </c>
      <c r="Y24" s="45">
        <f>鉄骨造!CL5</f>
        <v/>
      </c>
      <c r="Z24" s="45">
        <f>鉄骨造!CP5</f>
        <v/>
      </c>
      <c r="AA24" s="45">
        <f>鉄骨造!CT5</f>
        <v/>
      </c>
      <c r="AB24" s="45">
        <f>鉄骨造!CX5</f>
        <v/>
      </c>
      <c r="AC24" s="45">
        <f>鉄骨造!DB5</f>
        <v/>
      </c>
      <c r="AD24" s="45">
        <f>鉄骨造!DF5</f>
        <v/>
      </c>
      <c r="AE24" s="45">
        <f>鉄骨造!DJ5</f>
        <v/>
      </c>
      <c r="AF24" s="45">
        <f>鉄骨造!DN5</f>
        <v/>
      </c>
      <c r="AG24" s="45">
        <f>鉄骨造!DR5</f>
        <v/>
      </c>
      <c r="AH24" s="45">
        <f>鉄骨造!DV5</f>
        <v/>
      </c>
      <c r="AI24" s="45">
        <f>鉄骨造!DZ5</f>
        <v/>
      </c>
      <c r="AJ24" s="45">
        <f>鉄骨造!ED5</f>
        <v/>
      </c>
      <c r="AK24" s="45">
        <f>鉄骨造!EH5</f>
        <v/>
      </c>
      <c r="AL24" s="45">
        <f>鉄骨造!EL5</f>
        <v/>
      </c>
      <c r="AM24" s="45">
        <f>鉄骨造!EP5</f>
        <v/>
      </c>
      <c r="AN24" s="45">
        <f>鉄骨造!ET5</f>
        <v/>
      </c>
      <c r="AO24" s="45">
        <f>鉄骨造!EX5</f>
        <v/>
      </c>
      <c r="AP24" s="45">
        <f>鉄骨造!FB5</f>
        <v/>
      </c>
      <c r="AQ24" s="45">
        <f>鉄骨造!FF5</f>
        <v/>
      </c>
      <c r="AR24" s="45">
        <f>鉄骨造!FJ18</f>
        <v/>
      </c>
      <c r="AS24" s="45">
        <f>鉄骨造!FN5</f>
        <v/>
      </c>
      <c r="AT24" s="47" t="n"/>
      <c r="AU24" s="47" t="n"/>
      <c r="AV24" s="47" t="n"/>
    </row>
    <row r="25" customFormat="1" s="23">
      <c r="B25" s="24" t="inlineStr">
        <is>
          <t>指数化</t>
        </is>
      </c>
      <c r="C25" s="46" t="n">
        <v>100</v>
      </c>
      <c r="D25" s="28" t="inlineStr">
        <is>
          <t>建築物着工統計算出指数(S造/全体)</t>
        </is>
      </c>
      <c r="E25" s="46">
        <f>E24/$C$24*100</f>
        <v/>
      </c>
      <c r="F25" s="46">
        <f>F24/$C$24*100</f>
        <v/>
      </c>
      <c r="G25" s="46">
        <f>G24/$C$24*100</f>
        <v/>
      </c>
      <c r="H25" s="46">
        <f>H24/$C$24*100</f>
        <v/>
      </c>
      <c r="I25" s="46">
        <f>I24/$C$24*100</f>
        <v/>
      </c>
      <c r="J25" s="46">
        <f>J24/$C$24*100</f>
        <v/>
      </c>
      <c r="K25" s="46">
        <f>K24/$C$24*100</f>
        <v/>
      </c>
      <c r="L25" s="46">
        <f>L24/$C$24*100</f>
        <v/>
      </c>
      <c r="M25" s="46">
        <f>M24/$C$24*100</f>
        <v/>
      </c>
      <c r="N25" s="46">
        <f>N24/$C$24*100</f>
        <v/>
      </c>
      <c r="O25" s="46">
        <f>O24/$C$24*100</f>
        <v/>
      </c>
      <c r="P25" s="46">
        <f>P24/$C$24*100</f>
        <v/>
      </c>
      <c r="Q25" s="46">
        <f>Q24/$C$24*100</f>
        <v/>
      </c>
      <c r="R25" s="46">
        <f>R24/$C$24*100</f>
        <v/>
      </c>
      <c r="S25" s="46">
        <f>S24/$C$24*100</f>
        <v/>
      </c>
      <c r="T25" s="46">
        <f>T24/$C$24*100</f>
        <v/>
      </c>
      <c r="U25" s="46">
        <f>U24/$C$24*100</f>
        <v/>
      </c>
      <c r="V25" s="46">
        <f>V24/$C$24*100</f>
        <v/>
      </c>
      <c r="W25" s="46">
        <f>W24/$C$24*100</f>
        <v/>
      </c>
      <c r="X25" s="46">
        <f>X24/$C$24*100</f>
        <v/>
      </c>
      <c r="Y25" s="46">
        <f>Y24/$C$24*100</f>
        <v/>
      </c>
      <c r="Z25" s="46">
        <f>Z24/$C$24*100</f>
        <v/>
      </c>
      <c r="AA25" s="46">
        <f>AA24/$C$24*100</f>
        <v/>
      </c>
      <c r="AB25" s="46">
        <f>AB24/$C$24*100</f>
        <v/>
      </c>
      <c r="AC25" s="46">
        <f>AC24/$C$24*100</f>
        <v/>
      </c>
      <c r="AD25" s="46">
        <f>AD24/$C$24*100</f>
        <v/>
      </c>
      <c r="AE25" s="46">
        <f>AE24/$C$24*100</f>
        <v/>
      </c>
      <c r="AF25" s="46">
        <f>AF24/$C$24*100</f>
        <v/>
      </c>
      <c r="AG25" s="46">
        <f>AG24/$C$24*100</f>
        <v/>
      </c>
      <c r="AH25" s="46">
        <f>AH24/$C$24*100</f>
        <v/>
      </c>
      <c r="AI25" s="46">
        <f>AI24/$C$24*100</f>
        <v/>
      </c>
      <c r="AJ25" s="46">
        <f>AJ24/$C$24*100</f>
        <v/>
      </c>
      <c r="AK25" s="46">
        <f>AK24/$C$24*100</f>
        <v/>
      </c>
      <c r="AL25" s="46">
        <f>AL24/$C$24*100</f>
        <v/>
      </c>
      <c r="AM25" s="46">
        <f>AM24/$C$24*100</f>
        <v/>
      </c>
      <c r="AN25" s="46">
        <f>AN24/$C$24*100</f>
        <v/>
      </c>
      <c r="AO25" s="46">
        <f>AO24/$C$24*100</f>
        <v/>
      </c>
      <c r="AP25" s="46">
        <f>AP24/$C$24*100</f>
        <v/>
      </c>
      <c r="AQ25" s="46">
        <f>AQ24/$C$24*100</f>
        <v/>
      </c>
      <c r="AR25" s="46">
        <f>AR24/$C$24*100</f>
        <v/>
      </c>
      <c r="AS25" s="46">
        <f>AS24/$C$24*100</f>
        <v/>
      </c>
      <c r="AT25" s="46" t="n"/>
      <c r="AU25" s="46" t="n"/>
      <c r="AV25" s="46" t="n"/>
    </row>
    <row r="26">
      <c r="B26" s="2" t="inlineStr">
        <is>
          <t>店舗</t>
        </is>
      </c>
      <c r="C26" s="45">
        <f>鉄骨造!F6</f>
        <v/>
      </c>
      <c r="E26" s="45">
        <f>鉄骨造!J6</f>
        <v/>
      </c>
      <c r="F26" s="45">
        <f>鉄骨造!N6</f>
        <v/>
      </c>
      <c r="G26" s="45">
        <f>鉄骨造!R6</f>
        <v/>
      </c>
      <c r="H26" s="45">
        <f>鉄骨造!V6</f>
        <v/>
      </c>
      <c r="I26" s="45">
        <f>鉄骨造!Z6</f>
        <v/>
      </c>
      <c r="J26" s="45">
        <f>鉄骨造!AD6</f>
        <v/>
      </c>
      <c r="K26" s="45">
        <f>鉄骨造!AH6</f>
        <v/>
      </c>
      <c r="L26" s="45">
        <f>鉄骨造!AL6</f>
        <v/>
      </c>
      <c r="M26" s="45">
        <f>鉄骨造!AP6</f>
        <v/>
      </c>
      <c r="N26" s="45">
        <f>鉄骨造!AT6</f>
        <v/>
      </c>
      <c r="O26" s="45">
        <f>鉄骨造!AX6</f>
        <v/>
      </c>
      <c r="P26" s="45">
        <f>鉄骨造!BB6</f>
        <v/>
      </c>
      <c r="Q26" s="45">
        <f>鉄骨造!BF6</f>
        <v/>
      </c>
      <c r="R26" s="45">
        <f>鉄骨造!BJ6</f>
        <v/>
      </c>
      <c r="S26" s="45">
        <f>鉄骨造!BN6</f>
        <v/>
      </c>
      <c r="T26" s="45">
        <f>鉄骨造!BR6</f>
        <v/>
      </c>
      <c r="U26" s="45">
        <f>鉄骨造!BV6</f>
        <v/>
      </c>
      <c r="V26" s="45">
        <f>鉄骨造!BZ6</f>
        <v/>
      </c>
      <c r="W26" s="45">
        <f>鉄骨造!CD6</f>
        <v/>
      </c>
      <c r="X26" s="45">
        <f>鉄骨造!CH6</f>
        <v/>
      </c>
      <c r="Y26" s="45">
        <f>鉄骨造!CL6</f>
        <v/>
      </c>
      <c r="Z26" s="45">
        <f>鉄骨造!CP6</f>
        <v/>
      </c>
      <c r="AA26" s="45">
        <f>鉄骨造!CT6</f>
        <v/>
      </c>
      <c r="AB26" s="45">
        <f>鉄骨造!CX6</f>
        <v/>
      </c>
      <c r="AC26" s="45">
        <f>鉄骨造!DB6</f>
        <v/>
      </c>
      <c r="AD26" s="45">
        <f>鉄骨造!DF6</f>
        <v/>
      </c>
      <c r="AE26" s="45">
        <f>鉄骨造!DJ6</f>
        <v/>
      </c>
      <c r="AF26" s="45">
        <f>鉄骨造!DN6</f>
        <v/>
      </c>
      <c r="AG26" s="45">
        <f>鉄骨造!DR6</f>
        <v/>
      </c>
      <c r="AH26" s="45">
        <f>鉄骨造!DV6</f>
        <v/>
      </c>
      <c r="AI26" s="45">
        <f>鉄骨造!DZ6</f>
        <v/>
      </c>
      <c r="AJ26" s="45">
        <f>鉄骨造!ED6</f>
        <v/>
      </c>
      <c r="AK26" s="45">
        <f>鉄骨造!EH6</f>
        <v/>
      </c>
      <c r="AL26" s="45">
        <f>鉄骨造!EL6</f>
        <v/>
      </c>
      <c r="AM26" s="45">
        <f>鉄骨造!EP6</f>
        <v/>
      </c>
      <c r="AN26" s="45">
        <f>鉄骨造!ET6</f>
        <v/>
      </c>
      <c r="AO26" s="45">
        <f>鉄骨造!EX6</f>
        <v/>
      </c>
      <c r="AP26" s="45">
        <f>鉄骨造!FB6</f>
        <v/>
      </c>
      <c r="AQ26" s="45">
        <f>鉄骨造!FF6</f>
        <v/>
      </c>
      <c r="AR26" s="45">
        <f>鉄骨造!FN6</f>
        <v/>
      </c>
      <c r="AS26" s="45">
        <f>鉄骨造!FN6</f>
        <v/>
      </c>
      <c r="AT26" s="47" t="n"/>
      <c r="AU26" s="47" t="n"/>
      <c r="AV26" s="47" t="n"/>
    </row>
    <row r="27">
      <c r="B27" s="2" t="inlineStr">
        <is>
          <t>工場及び作業場</t>
        </is>
      </c>
      <c r="C27" s="45">
        <f>鉄骨造!F7</f>
        <v/>
      </c>
      <c r="E27" s="45">
        <f>鉄骨造!J7</f>
        <v/>
      </c>
      <c r="F27" s="45">
        <f>鉄骨造!N7</f>
        <v/>
      </c>
      <c r="G27" s="45">
        <f>鉄骨造!R7</f>
        <v/>
      </c>
      <c r="H27" s="45">
        <f>鉄骨造!V7</f>
        <v/>
      </c>
      <c r="I27" s="45">
        <f>鉄骨造!Z7</f>
        <v/>
      </c>
      <c r="J27" s="45">
        <f>鉄骨造!AD7</f>
        <v/>
      </c>
      <c r="K27" s="45">
        <f>鉄骨造!AH7</f>
        <v/>
      </c>
      <c r="L27" s="45">
        <f>鉄骨造!AL7</f>
        <v/>
      </c>
      <c r="M27" s="45">
        <f>鉄骨造!AP7</f>
        <v/>
      </c>
      <c r="N27" s="45">
        <f>鉄骨造!AT7</f>
        <v/>
      </c>
      <c r="O27" s="45">
        <f>鉄骨造!AX7</f>
        <v/>
      </c>
      <c r="P27" s="45">
        <f>鉄骨造!BB7</f>
        <v/>
      </c>
      <c r="Q27" s="45">
        <f>鉄骨造!BF7</f>
        <v/>
      </c>
      <c r="R27" s="45">
        <f>鉄骨造!BJ7</f>
        <v/>
      </c>
      <c r="S27" s="45">
        <f>鉄骨造!BN7</f>
        <v/>
      </c>
      <c r="T27" s="45">
        <f>鉄骨造!BR7</f>
        <v/>
      </c>
      <c r="U27" s="45">
        <f>鉄骨造!BV7</f>
        <v/>
      </c>
      <c r="V27" s="45">
        <f>鉄骨造!BZ7</f>
        <v/>
      </c>
      <c r="W27" s="45">
        <f>鉄骨造!CD7</f>
        <v/>
      </c>
      <c r="X27" s="45">
        <f>鉄骨造!CH7</f>
        <v/>
      </c>
      <c r="Y27" s="45">
        <f>鉄骨造!CL7</f>
        <v/>
      </c>
      <c r="Z27" s="45">
        <f>鉄骨造!CP7</f>
        <v/>
      </c>
      <c r="AA27" s="45">
        <f>鉄骨造!CT7</f>
        <v/>
      </c>
      <c r="AB27" s="45">
        <f>鉄骨造!CX7</f>
        <v/>
      </c>
      <c r="AC27" s="45">
        <f>鉄骨造!DB7</f>
        <v/>
      </c>
      <c r="AD27" s="45">
        <f>鉄骨造!DF7</f>
        <v/>
      </c>
      <c r="AE27" s="45">
        <f>鉄骨造!DJ7</f>
        <v/>
      </c>
      <c r="AF27" s="45">
        <f>鉄骨造!DN7</f>
        <v/>
      </c>
      <c r="AG27" s="45">
        <f>鉄骨造!DR7</f>
        <v/>
      </c>
      <c r="AH27" s="45">
        <f>鉄骨造!DV7</f>
        <v/>
      </c>
      <c r="AI27" s="45">
        <f>鉄骨造!DZ7</f>
        <v/>
      </c>
      <c r="AJ27" s="45">
        <f>鉄骨造!ED7</f>
        <v/>
      </c>
      <c r="AK27" s="45">
        <f>鉄骨造!EH7</f>
        <v/>
      </c>
      <c r="AL27" s="45">
        <f>鉄骨造!EL7</f>
        <v/>
      </c>
      <c r="AM27" s="45">
        <f>鉄骨造!EP7</f>
        <v/>
      </c>
      <c r="AN27" s="45">
        <f>鉄骨造!ET7</f>
        <v/>
      </c>
      <c r="AO27" s="45">
        <f>鉄骨造!EX7</f>
        <v/>
      </c>
      <c r="AP27" s="45">
        <f>鉄骨造!FB7</f>
        <v/>
      </c>
      <c r="AQ27" s="45">
        <f>鉄骨造!FF7</f>
        <v/>
      </c>
      <c r="AR27" s="45">
        <f>鉄骨造!FN7</f>
        <v/>
      </c>
      <c r="AS27" s="45">
        <f>鉄骨造!FN7</f>
        <v/>
      </c>
      <c r="AT27" s="47" t="n"/>
      <c r="AU27" s="47" t="n"/>
      <c r="AV27" s="47" t="n"/>
    </row>
    <row r="28">
      <c r="B28" s="2" t="inlineStr">
        <is>
          <t>倉庫</t>
        </is>
      </c>
      <c r="C28" s="45">
        <f>鉄骨造!F8</f>
        <v/>
      </c>
      <c r="E28" s="45">
        <f>鉄骨造!J8</f>
        <v/>
      </c>
      <c r="F28" s="45">
        <f>鉄骨造!N8</f>
        <v/>
      </c>
      <c r="G28" s="45">
        <f>鉄骨造!R8</f>
        <v/>
      </c>
      <c r="H28" s="45">
        <f>鉄骨造!V8</f>
        <v/>
      </c>
      <c r="I28" s="45">
        <f>鉄骨造!Z8</f>
        <v/>
      </c>
      <c r="J28" s="45">
        <f>鉄骨造!AD8</f>
        <v/>
      </c>
      <c r="K28" s="45">
        <f>鉄骨造!AH8</f>
        <v/>
      </c>
      <c r="L28" s="45">
        <f>鉄骨造!AL8</f>
        <v/>
      </c>
      <c r="M28" s="45">
        <f>鉄骨造!AP8</f>
        <v/>
      </c>
      <c r="N28" s="45">
        <f>鉄骨造!AT8</f>
        <v/>
      </c>
      <c r="O28" s="45">
        <f>鉄骨造!AX8</f>
        <v/>
      </c>
      <c r="P28" s="45">
        <f>鉄骨造!BB8</f>
        <v/>
      </c>
      <c r="Q28" s="45">
        <f>鉄骨造!BF8</f>
        <v/>
      </c>
      <c r="R28" s="45">
        <f>鉄骨造!BJ8</f>
        <v/>
      </c>
      <c r="S28" s="45">
        <f>鉄骨造!BN8</f>
        <v/>
      </c>
      <c r="T28" s="45">
        <f>鉄骨造!BR8</f>
        <v/>
      </c>
      <c r="U28" s="45">
        <f>鉄骨造!BV8</f>
        <v/>
      </c>
      <c r="V28" s="45">
        <f>鉄骨造!BZ8</f>
        <v/>
      </c>
      <c r="W28" s="45">
        <f>鉄骨造!CD8</f>
        <v/>
      </c>
      <c r="X28" s="45">
        <f>鉄骨造!CH8</f>
        <v/>
      </c>
      <c r="Y28" s="45">
        <f>鉄骨造!CL8</f>
        <v/>
      </c>
      <c r="Z28" s="45">
        <f>鉄骨造!CP8</f>
        <v/>
      </c>
      <c r="AA28" s="45">
        <f>鉄骨造!CT8</f>
        <v/>
      </c>
      <c r="AB28" s="45">
        <f>鉄骨造!CX8</f>
        <v/>
      </c>
      <c r="AC28" s="45">
        <f>鉄骨造!DB8</f>
        <v/>
      </c>
      <c r="AD28" s="45">
        <f>鉄骨造!DF8</f>
        <v/>
      </c>
      <c r="AE28" s="45">
        <f>鉄骨造!DJ8</f>
        <v/>
      </c>
      <c r="AF28" s="45">
        <f>鉄骨造!DN8</f>
        <v/>
      </c>
      <c r="AG28" s="45">
        <f>鉄骨造!DR8</f>
        <v/>
      </c>
      <c r="AH28" s="45">
        <f>鉄骨造!DV8</f>
        <v/>
      </c>
      <c r="AI28" s="45">
        <f>鉄骨造!DZ8</f>
        <v/>
      </c>
      <c r="AJ28" s="45">
        <f>鉄骨造!ED8</f>
        <v/>
      </c>
      <c r="AK28" s="45">
        <f>鉄骨造!EH8</f>
        <v/>
      </c>
      <c r="AL28" s="45">
        <f>鉄骨造!EL8</f>
        <v/>
      </c>
      <c r="AM28" s="45">
        <f>鉄骨造!EP8</f>
        <v/>
      </c>
      <c r="AN28" s="45">
        <f>鉄骨造!ET8</f>
        <v/>
      </c>
      <c r="AO28" s="45">
        <f>鉄骨造!EX8</f>
        <v/>
      </c>
      <c r="AP28" s="45">
        <f>鉄骨造!FB8</f>
        <v/>
      </c>
      <c r="AQ28" s="45">
        <f>鉄骨造!FF8</f>
        <v/>
      </c>
      <c r="AR28" s="45">
        <f>鉄骨造!FN8</f>
        <v/>
      </c>
      <c r="AS28" s="45">
        <f>鉄骨造!FN8</f>
        <v/>
      </c>
      <c r="AT28" s="47" t="n"/>
      <c r="AU28" s="47" t="n"/>
      <c r="AV28" s="47" t="n"/>
    </row>
    <row r="29">
      <c r="B29" s="2" t="inlineStr">
        <is>
          <t>学校の校舎</t>
        </is>
      </c>
      <c r="C29" s="45">
        <f>鉄骨造!F9</f>
        <v/>
      </c>
      <c r="E29" s="45">
        <f>鉄骨造!J9</f>
        <v/>
      </c>
      <c r="F29" s="45">
        <f>鉄骨造!N9</f>
        <v/>
      </c>
      <c r="G29" s="45">
        <f>鉄骨造!R9</f>
        <v/>
      </c>
      <c r="H29" s="45">
        <f>鉄骨造!V9</f>
        <v/>
      </c>
      <c r="I29" s="45">
        <f>鉄骨造!Z9</f>
        <v/>
      </c>
      <c r="J29" s="45">
        <f>鉄骨造!AD9</f>
        <v/>
      </c>
      <c r="K29" s="45">
        <f>鉄骨造!AH9</f>
        <v/>
      </c>
      <c r="L29" s="45">
        <f>鉄骨造!AL9</f>
        <v/>
      </c>
      <c r="M29" s="45">
        <f>鉄骨造!AP9</f>
        <v/>
      </c>
      <c r="N29" s="45">
        <f>鉄骨造!AT9</f>
        <v/>
      </c>
      <c r="O29" s="45">
        <f>鉄骨造!AX9</f>
        <v/>
      </c>
      <c r="P29" s="45">
        <f>鉄骨造!BB9</f>
        <v/>
      </c>
      <c r="Q29" s="45">
        <f>鉄骨造!BF9</f>
        <v/>
      </c>
      <c r="R29" s="45">
        <f>鉄骨造!BJ9</f>
        <v/>
      </c>
      <c r="S29" s="45">
        <f>鉄骨造!BN9</f>
        <v/>
      </c>
      <c r="T29" s="45">
        <f>鉄骨造!BR9</f>
        <v/>
      </c>
      <c r="U29" s="45">
        <f>鉄骨造!BV9</f>
        <v/>
      </c>
      <c r="V29" s="45">
        <f>鉄骨造!BZ9</f>
        <v/>
      </c>
      <c r="W29" s="45">
        <f>鉄骨造!CD9</f>
        <v/>
      </c>
      <c r="X29" s="45">
        <f>鉄骨造!CH9</f>
        <v/>
      </c>
      <c r="Y29" s="45">
        <f>鉄骨造!CL9</f>
        <v/>
      </c>
      <c r="Z29" s="45">
        <f>鉄骨造!CP9</f>
        <v/>
      </c>
      <c r="AA29" s="45">
        <f>鉄骨造!CT9</f>
        <v/>
      </c>
      <c r="AB29" s="45">
        <f>鉄骨造!CX9</f>
        <v/>
      </c>
      <c r="AC29" s="45">
        <f>鉄骨造!DB9</f>
        <v/>
      </c>
      <c r="AD29" s="45">
        <f>鉄骨造!DF9</f>
        <v/>
      </c>
      <c r="AE29" s="45">
        <f>鉄骨造!DJ9</f>
        <v/>
      </c>
      <c r="AF29" s="45">
        <f>鉄骨造!DN9</f>
        <v/>
      </c>
      <c r="AG29" s="45">
        <f>鉄骨造!DR9</f>
        <v/>
      </c>
      <c r="AH29" s="45">
        <f>鉄骨造!DV9</f>
        <v/>
      </c>
      <c r="AI29" s="45">
        <f>鉄骨造!DZ9</f>
        <v/>
      </c>
      <c r="AJ29" s="45">
        <f>鉄骨造!ED9</f>
        <v/>
      </c>
      <c r="AK29" s="45">
        <f>鉄骨造!EH9</f>
        <v/>
      </c>
      <c r="AL29" s="45">
        <f>鉄骨造!EL9</f>
        <v/>
      </c>
      <c r="AM29" s="45">
        <f>鉄骨造!EP9</f>
        <v/>
      </c>
      <c r="AN29" s="45">
        <f>鉄骨造!ET9</f>
        <v/>
      </c>
      <c r="AO29" s="45">
        <f>鉄骨造!EX9</f>
        <v/>
      </c>
      <c r="AP29" s="45">
        <f>鉄骨造!FB9</f>
        <v/>
      </c>
      <c r="AQ29" s="45">
        <f>鉄骨造!FF9</f>
        <v/>
      </c>
      <c r="AR29" s="45">
        <f>鉄骨造!FN9</f>
        <v/>
      </c>
      <c r="AS29" s="45">
        <f>鉄骨造!FN9</f>
        <v/>
      </c>
      <c r="AT29" s="47" t="n"/>
      <c r="AU29" s="47" t="n"/>
      <c r="AV29" s="47" t="n"/>
    </row>
    <row r="30">
      <c r="B30" s="2" t="inlineStr">
        <is>
          <t>病院・診療所</t>
        </is>
      </c>
      <c r="C30" s="45">
        <f>鉄骨造!F10</f>
        <v/>
      </c>
      <c r="E30" s="45">
        <f>鉄骨造!J10</f>
        <v/>
      </c>
      <c r="F30" s="45">
        <f>鉄骨造!N10</f>
        <v/>
      </c>
      <c r="G30" s="45">
        <f>鉄骨造!R10</f>
        <v/>
      </c>
      <c r="H30" s="45">
        <f>鉄骨造!V10</f>
        <v/>
      </c>
      <c r="I30" s="45">
        <f>鉄骨造!Z10</f>
        <v/>
      </c>
      <c r="J30" s="45">
        <f>鉄骨造!AD10</f>
        <v/>
      </c>
      <c r="K30" s="45">
        <f>鉄骨造!AH10</f>
        <v/>
      </c>
      <c r="L30" s="45">
        <f>鉄骨造!AL10</f>
        <v/>
      </c>
      <c r="M30" s="45">
        <f>鉄骨造!AP10</f>
        <v/>
      </c>
      <c r="N30" s="45">
        <f>鉄骨造!AT10</f>
        <v/>
      </c>
      <c r="O30" s="45">
        <f>鉄骨造!AX10</f>
        <v/>
      </c>
      <c r="P30" s="45">
        <f>鉄骨造!BB10</f>
        <v/>
      </c>
      <c r="Q30" s="45">
        <f>鉄骨造!BF10</f>
        <v/>
      </c>
      <c r="R30" s="45">
        <f>鉄骨造!BJ10</f>
        <v/>
      </c>
      <c r="S30" s="45">
        <f>鉄骨造!BN10</f>
        <v/>
      </c>
      <c r="T30" s="45">
        <f>鉄骨造!BR10</f>
        <v/>
      </c>
      <c r="U30" s="45">
        <f>鉄骨造!BV10</f>
        <v/>
      </c>
      <c r="V30" s="45">
        <f>鉄骨造!BZ10</f>
        <v/>
      </c>
      <c r="W30" s="45">
        <f>鉄骨造!CD10</f>
        <v/>
      </c>
      <c r="X30" s="45">
        <f>鉄骨造!CH10</f>
        <v/>
      </c>
      <c r="Y30" s="45">
        <f>鉄骨造!CL10</f>
        <v/>
      </c>
      <c r="Z30" s="45">
        <f>鉄骨造!CP10</f>
        <v/>
      </c>
      <c r="AA30" s="45">
        <f>鉄骨造!CT10</f>
        <v/>
      </c>
      <c r="AB30" s="45">
        <f>鉄骨造!CX10</f>
        <v/>
      </c>
      <c r="AC30" s="45">
        <f>鉄骨造!DB10</f>
        <v/>
      </c>
      <c r="AD30" s="45">
        <f>鉄骨造!DF10</f>
        <v/>
      </c>
      <c r="AE30" s="45">
        <f>鉄骨造!DJ10</f>
        <v/>
      </c>
      <c r="AF30" s="45">
        <f>鉄骨造!DN10</f>
        <v/>
      </c>
      <c r="AG30" s="45">
        <f>鉄骨造!DR10</f>
        <v/>
      </c>
      <c r="AH30" s="45">
        <f>鉄骨造!DV10</f>
        <v/>
      </c>
      <c r="AI30" s="45">
        <f>鉄骨造!DZ10</f>
        <v/>
      </c>
      <c r="AJ30" s="45">
        <f>鉄骨造!ED10</f>
        <v/>
      </c>
      <c r="AK30" s="45">
        <f>鉄骨造!EH10</f>
        <v/>
      </c>
      <c r="AL30" s="45">
        <f>鉄骨造!EL10</f>
        <v/>
      </c>
      <c r="AM30" s="45">
        <f>鉄骨造!EP10</f>
        <v/>
      </c>
      <c r="AN30" s="45">
        <f>鉄骨造!ET10</f>
        <v/>
      </c>
      <c r="AO30" s="45">
        <f>鉄骨造!EX10</f>
        <v/>
      </c>
      <c r="AP30" s="45">
        <f>鉄骨造!FB10</f>
        <v/>
      </c>
      <c r="AQ30" s="45">
        <f>鉄骨造!FF10</f>
        <v/>
      </c>
      <c r="AR30" s="45">
        <f>鉄骨造!FN10</f>
        <v/>
      </c>
      <c r="AS30" s="45">
        <f>鉄骨造!FN10</f>
        <v/>
      </c>
      <c r="AT30" s="47" t="n"/>
      <c r="AU30" s="47" t="n"/>
      <c r="AV30" s="47" t="n"/>
    </row>
    <row r="31">
      <c r="B31" s="2" t="inlineStr">
        <is>
          <t>その他</t>
        </is>
      </c>
      <c r="C31" s="45">
        <f>鉄骨造!F11</f>
        <v/>
      </c>
      <c r="E31" s="45">
        <f>鉄骨造!J11</f>
        <v/>
      </c>
      <c r="F31" s="45">
        <f>鉄骨造!N11</f>
        <v/>
      </c>
      <c r="G31" s="45">
        <f>鉄骨造!R11</f>
        <v/>
      </c>
      <c r="H31" s="45">
        <f>鉄骨造!V11</f>
        <v/>
      </c>
      <c r="I31" s="45">
        <f>鉄骨造!Z11</f>
        <v/>
      </c>
      <c r="J31" s="45">
        <f>鉄骨造!AD11</f>
        <v/>
      </c>
      <c r="K31" s="45">
        <f>鉄骨造!AH11</f>
        <v/>
      </c>
      <c r="L31" s="45">
        <f>鉄骨造!AL11</f>
        <v/>
      </c>
      <c r="M31" s="45">
        <f>鉄骨造!AP11</f>
        <v/>
      </c>
      <c r="N31" s="45">
        <f>鉄骨造!AT11</f>
        <v/>
      </c>
      <c r="O31" s="45">
        <f>鉄骨造!AX11</f>
        <v/>
      </c>
      <c r="P31" s="45">
        <f>鉄骨造!BB11</f>
        <v/>
      </c>
      <c r="Q31" s="45">
        <f>鉄骨造!BF11</f>
        <v/>
      </c>
      <c r="R31" s="45">
        <f>鉄骨造!BJ11</f>
        <v/>
      </c>
      <c r="S31" s="45">
        <f>鉄骨造!BN11</f>
        <v/>
      </c>
      <c r="T31" s="45">
        <f>鉄骨造!BR11</f>
        <v/>
      </c>
      <c r="U31" s="45">
        <f>鉄骨造!BV11</f>
        <v/>
      </c>
      <c r="V31" s="45">
        <f>鉄骨造!BZ11</f>
        <v/>
      </c>
      <c r="W31" s="45">
        <f>鉄骨造!CD11</f>
        <v/>
      </c>
      <c r="X31" s="45">
        <f>鉄骨造!CH11</f>
        <v/>
      </c>
      <c r="Y31" s="45">
        <f>鉄骨造!CL11</f>
        <v/>
      </c>
      <c r="Z31" s="45">
        <f>鉄骨造!CP11</f>
        <v/>
      </c>
      <c r="AA31" s="45">
        <f>鉄骨造!CT11</f>
        <v/>
      </c>
      <c r="AB31" s="45">
        <f>鉄骨造!CX11</f>
        <v/>
      </c>
      <c r="AC31" s="45">
        <f>鉄骨造!DB11</f>
        <v/>
      </c>
      <c r="AD31" s="45">
        <f>鉄骨造!DF11</f>
        <v/>
      </c>
      <c r="AE31" s="45">
        <f>鉄骨造!DJ11</f>
        <v/>
      </c>
      <c r="AF31" s="45">
        <f>鉄骨造!DN11</f>
        <v/>
      </c>
      <c r="AG31" s="45">
        <f>鉄骨造!DR11</f>
        <v/>
      </c>
      <c r="AH31" s="45">
        <f>鉄骨造!DV11</f>
        <v/>
      </c>
      <c r="AI31" s="45">
        <f>鉄骨造!DZ11</f>
        <v/>
      </c>
      <c r="AJ31" s="45">
        <f>鉄骨造!ED11</f>
        <v/>
      </c>
      <c r="AK31" s="45">
        <f>鉄骨造!EH11</f>
        <v/>
      </c>
      <c r="AL31" s="45">
        <f>鉄骨造!EL11</f>
        <v/>
      </c>
      <c r="AM31" s="45">
        <f>鉄骨造!EP11</f>
        <v/>
      </c>
      <c r="AN31" s="45">
        <f>鉄骨造!ET11</f>
        <v/>
      </c>
      <c r="AO31" s="45">
        <f>鉄骨造!EX11</f>
        <v/>
      </c>
      <c r="AP31" s="45">
        <f>鉄骨造!FB11</f>
        <v/>
      </c>
      <c r="AQ31" s="45">
        <f>鉄骨造!FF11</f>
        <v/>
      </c>
      <c r="AR31" s="45">
        <f>鉄骨造!FN11</f>
        <v/>
      </c>
      <c r="AS31" s="45">
        <f>鉄骨造!FN11</f>
        <v/>
      </c>
      <c r="AT31" s="47" t="n"/>
      <c r="AU31" s="47" t="n"/>
      <c r="AV31" s="47" t="n"/>
    </row>
    <row r="33" ht="19.8" customHeight="1">
      <c r="A33" s="1" t="inlineStr">
        <is>
          <t>鉄骨造</t>
        </is>
      </c>
    </row>
    <row r="34" customFormat="1" s="19">
      <c r="C34" s="19" t="n">
        <v>2015</v>
      </c>
      <c r="D34" s="22" t="n"/>
      <c r="E34" s="19" t="inlineStr">
        <is>
          <t>R4.1</t>
        </is>
      </c>
      <c r="F34" s="19" t="inlineStr">
        <is>
          <t>R4.2</t>
        </is>
      </c>
      <c r="G34" s="19" t="inlineStr">
        <is>
          <t>R4.3</t>
        </is>
      </c>
      <c r="H34" s="19" t="inlineStr">
        <is>
          <t>R4.4</t>
        </is>
      </c>
      <c r="I34" s="19" t="inlineStr">
        <is>
          <t>R4.5</t>
        </is>
      </c>
      <c r="J34" s="19" t="inlineStr">
        <is>
          <t>R4.6</t>
        </is>
      </c>
      <c r="K34" s="19" t="inlineStr">
        <is>
          <t>R4.7</t>
        </is>
      </c>
      <c r="L34" s="19" t="inlineStr">
        <is>
          <t>R4.8</t>
        </is>
      </c>
      <c r="M34" s="19" t="inlineStr">
        <is>
          <t>R4.9</t>
        </is>
      </c>
      <c r="N34" s="19" t="inlineStr">
        <is>
          <t>R4.10</t>
        </is>
      </c>
      <c r="O34" s="19" t="inlineStr">
        <is>
          <t>R4.11</t>
        </is>
      </c>
      <c r="P34" s="19" t="inlineStr">
        <is>
          <t>R4.12</t>
        </is>
      </c>
      <c r="Q34" s="19" t="inlineStr">
        <is>
          <t>R5.1</t>
        </is>
      </c>
      <c r="R34" s="19" t="inlineStr">
        <is>
          <t>R5.2</t>
        </is>
      </c>
      <c r="S34" s="19" t="inlineStr">
        <is>
          <t>R5.3</t>
        </is>
      </c>
      <c r="T34" s="19" t="inlineStr">
        <is>
          <t>R5.4</t>
        </is>
      </c>
      <c r="U34" s="19" t="inlineStr">
        <is>
          <t>R5.5</t>
        </is>
      </c>
      <c r="V34" s="19" t="inlineStr">
        <is>
          <t>R5.6</t>
        </is>
      </c>
      <c r="W34" s="19" t="inlineStr">
        <is>
          <t>R5.7</t>
        </is>
      </c>
      <c r="X34" s="19" t="inlineStr">
        <is>
          <t>R5.8</t>
        </is>
      </c>
      <c r="Y34" s="19" t="inlineStr">
        <is>
          <t>R5.9</t>
        </is>
      </c>
      <c r="Z34" s="19" t="inlineStr">
        <is>
          <t>R5.10</t>
        </is>
      </c>
      <c r="AA34" s="19" t="inlineStr">
        <is>
          <t>R5.11</t>
        </is>
      </c>
      <c r="AB34" s="19" t="inlineStr">
        <is>
          <t>R5.12</t>
        </is>
      </c>
      <c r="AC34" s="19" t="inlineStr">
        <is>
          <t>R6.1</t>
        </is>
      </c>
      <c r="AD34" s="19" t="inlineStr">
        <is>
          <t>R6.2</t>
        </is>
      </c>
      <c r="AE34" s="19" t="inlineStr">
        <is>
          <t>R6.3</t>
        </is>
      </c>
      <c r="AF34" s="19" t="inlineStr">
        <is>
          <t>R6.4</t>
        </is>
      </c>
      <c r="AG34" s="19" t="inlineStr">
        <is>
          <t>R6.5</t>
        </is>
      </c>
      <c r="AH34" s="19" t="inlineStr">
        <is>
          <t>R6.6</t>
        </is>
      </c>
      <c r="AI34" s="19" t="inlineStr">
        <is>
          <t>R6.7</t>
        </is>
      </c>
      <c r="AJ34" s="19" t="inlineStr">
        <is>
          <t>R6.8</t>
        </is>
      </c>
      <c r="AK34" s="19" t="inlineStr">
        <is>
          <t>R6.9</t>
        </is>
      </c>
      <c r="AL34" s="19" t="inlineStr">
        <is>
          <t>R6.10</t>
        </is>
      </c>
      <c r="AM34" s="19" t="inlineStr">
        <is>
          <t>R6.11</t>
        </is>
      </c>
      <c r="AN34" s="19" t="inlineStr">
        <is>
          <t>R6.12</t>
        </is>
      </c>
      <c r="AO34" s="19" t="inlineStr">
        <is>
          <t>R7.1</t>
        </is>
      </c>
      <c r="AP34" s="19" t="inlineStr">
        <is>
          <t>R7.2</t>
        </is>
      </c>
      <c r="AQ34" s="19" t="inlineStr">
        <is>
          <t>R7.3</t>
        </is>
      </c>
      <c r="AR34" s="19" t="inlineStr">
        <is>
          <t>R7.4</t>
        </is>
      </c>
      <c r="AS34" s="19" t="inlineStr">
        <is>
          <t>R7.5</t>
        </is>
      </c>
      <c r="AT34" s="19" t="inlineStr">
        <is>
          <t>R7.6</t>
        </is>
      </c>
      <c r="AU34" s="19" t="inlineStr">
        <is>
          <t>R7.7</t>
        </is>
      </c>
      <c r="AV34" s="19" t="inlineStr">
        <is>
          <t>R7.8</t>
        </is>
      </c>
      <c r="AW34" s="19" t="inlineStr">
        <is>
          <t>R7.9</t>
        </is>
      </c>
      <c r="AX34" s="19" t="inlineStr">
        <is>
          <t>R7.10</t>
        </is>
      </c>
      <c r="AY34" s="19" t="inlineStr">
        <is>
          <t>R7.11</t>
        </is>
      </c>
      <c r="AZ34" s="19" t="inlineStr">
        <is>
          <t>R7.12</t>
        </is>
      </c>
    </row>
    <row r="35">
      <c r="C35" s="45">
        <f>鉄骨造!F18</f>
        <v/>
      </c>
      <c r="E35" s="45">
        <f>鉄骨造!J18</f>
        <v/>
      </c>
      <c r="F35" s="45">
        <f>鉄骨造!N18</f>
        <v/>
      </c>
      <c r="G35" s="45">
        <f>鉄骨造!R18</f>
        <v/>
      </c>
      <c r="H35" s="45">
        <f>鉄骨造!V18</f>
        <v/>
      </c>
      <c r="I35" s="45">
        <f>鉄骨造!Z18</f>
        <v/>
      </c>
      <c r="J35" s="45">
        <f>鉄骨造!AD18</f>
        <v/>
      </c>
      <c r="K35" s="45">
        <f>鉄骨造!AH18</f>
        <v/>
      </c>
      <c r="L35" s="45">
        <f>鉄骨造!AL18</f>
        <v/>
      </c>
      <c r="M35" s="45">
        <f>鉄骨造!AP18</f>
        <v/>
      </c>
      <c r="N35" s="45">
        <f>鉄骨造!AT18</f>
        <v/>
      </c>
      <c r="O35" s="45">
        <f>鉄骨造!AX18</f>
        <v/>
      </c>
      <c r="P35" s="45">
        <f>鉄骨造!BB18</f>
        <v/>
      </c>
      <c r="Q35" s="45">
        <f>鉄骨造!BF18</f>
        <v/>
      </c>
      <c r="R35" s="45">
        <f>鉄骨造!BJ18</f>
        <v/>
      </c>
      <c r="S35" s="45">
        <f>鉄骨造!BN18</f>
        <v/>
      </c>
      <c r="T35" s="45">
        <f>鉄骨造!BR18</f>
        <v/>
      </c>
      <c r="U35" s="45">
        <f>鉄骨造!BV18</f>
        <v/>
      </c>
      <c r="V35" s="45">
        <f>鉄骨造!BZ18</f>
        <v/>
      </c>
      <c r="W35" s="45">
        <f>鉄骨造!CD18</f>
        <v/>
      </c>
      <c r="X35" s="45">
        <f>鉄骨造!CH18</f>
        <v/>
      </c>
      <c r="Y35" s="45">
        <f>鉄骨造!CL18</f>
        <v/>
      </c>
      <c r="Z35" s="45">
        <f>鉄骨造!CP18</f>
        <v/>
      </c>
      <c r="AA35" s="45">
        <f>鉄骨造!CT18</f>
        <v/>
      </c>
      <c r="AB35" s="45">
        <f>鉄骨造!CX18</f>
        <v/>
      </c>
      <c r="AC35" s="45">
        <f>鉄骨造!DB18</f>
        <v/>
      </c>
      <c r="AD35" s="45">
        <f>鉄骨造!DF18</f>
        <v/>
      </c>
      <c r="AE35" s="45">
        <f>鉄骨造!DJ18</f>
        <v/>
      </c>
      <c r="AF35" s="45">
        <f>鉄骨造!DN18</f>
        <v/>
      </c>
      <c r="AG35" s="45">
        <f>鉄骨造!DR18</f>
        <v/>
      </c>
      <c r="AH35" s="45">
        <f>鉄骨造!DV18</f>
        <v/>
      </c>
      <c r="AI35" s="45">
        <f>鉄骨造!DZ18</f>
        <v/>
      </c>
      <c r="AJ35" s="45">
        <f>鉄骨造!ED18</f>
        <v/>
      </c>
      <c r="AK35" s="45">
        <f>鉄骨造!EH18</f>
        <v/>
      </c>
      <c r="AL35" s="45">
        <f>鉄骨造!EL18</f>
        <v/>
      </c>
      <c r="AM35" s="45">
        <f>鉄骨造!EP18</f>
        <v/>
      </c>
      <c r="AN35" s="45">
        <f>鉄骨造!ET18</f>
        <v/>
      </c>
      <c r="AO35" s="45">
        <f>鉄骨造!EX18</f>
        <v/>
      </c>
      <c r="AP35" s="45">
        <f>鉄骨造!FB18</f>
        <v/>
      </c>
      <c r="AQ35" s="45">
        <f>鉄骨造!FF18</f>
        <v/>
      </c>
      <c r="AR35" s="45">
        <f>鉄骨造!FJ18</f>
        <v/>
      </c>
      <c r="AS35" s="45">
        <f>鉄骨造!FN18</f>
        <v/>
      </c>
      <c r="AT35" s="2">
        <f>鉄骨造!FR18</f>
        <v/>
      </c>
      <c r="AU35" s="2">
        <f>鉄骨造!FV18</f>
        <v/>
      </c>
      <c r="AV35" s="2">
        <f>鉄骨造!FZ18</f>
        <v/>
      </c>
      <c r="AW35" s="48">
        <f>鉄骨造!GD18</f>
        <v/>
      </c>
      <c r="AX35" s="48">
        <f>鉄骨造!GH18</f>
        <v/>
      </c>
      <c r="AY35" s="48">
        <f>鉄骨造!GL18</f>
        <v/>
      </c>
    </row>
    <row r="36" customFormat="1" s="23">
      <c r="B36" s="24" t="inlineStr">
        <is>
          <t>指数化</t>
        </is>
      </c>
      <c r="C36" s="46" t="n">
        <v>100</v>
      </c>
      <c r="D36" s="28" t="inlineStr">
        <is>
          <t>建築物着工統計算出指数(S造/多用途建築物)</t>
        </is>
      </c>
      <c r="E36" s="46">
        <f>E35/$C$35*100</f>
        <v/>
      </c>
      <c r="F36" s="46">
        <f>F35/$C$35*100</f>
        <v/>
      </c>
      <c r="G36" s="46">
        <f>G35/$C$35*100</f>
        <v/>
      </c>
      <c r="H36" s="46">
        <f>H35/$C$35*100</f>
        <v/>
      </c>
      <c r="I36" s="46">
        <f>I35/$C$35*100</f>
        <v/>
      </c>
      <c r="J36" s="46">
        <f>J35/$C$35*100</f>
        <v/>
      </c>
      <c r="K36" s="46">
        <f>K35/$C$35*100</f>
        <v/>
      </c>
      <c r="L36" s="46">
        <f>L35/$C$35*100</f>
        <v/>
      </c>
      <c r="M36" s="46">
        <f>M35/$C$35*100</f>
        <v/>
      </c>
      <c r="N36" s="46">
        <f>N35/$C$35*100</f>
        <v/>
      </c>
      <c r="O36" s="46">
        <f>O35/$C$35*100</f>
        <v/>
      </c>
      <c r="P36" s="46">
        <f>P35/$C$35*100</f>
        <v/>
      </c>
      <c r="Q36" s="46">
        <f>Q35/$C$35*100</f>
        <v/>
      </c>
      <c r="R36" s="46">
        <f>R35/$C$35*100</f>
        <v/>
      </c>
      <c r="S36" s="46">
        <f>S35/$C$35*100</f>
        <v/>
      </c>
      <c r="T36" s="46">
        <f>T35/$C$35*100</f>
        <v/>
      </c>
      <c r="U36" s="46">
        <f>U35/$C$35*100</f>
        <v/>
      </c>
      <c r="V36" s="46">
        <f>V35/$C$35*100</f>
        <v/>
      </c>
      <c r="W36" s="46">
        <f>W35/$C$35*100</f>
        <v/>
      </c>
      <c r="X36" s="46">
        <f>X35/$C$35*100</f>
        <v/>
      </c>
      <c r="Y36" s="46">
        <f>Y35/$C$35*100</f>
        <v/>
      </c>
      <c r="Z36" s="46">
        <f>Z35/$C$35*100</f>
        <v/>
      </c>
      <c r="AA36" s="46">
        <f>AA35/$C$35*100</f>
        <v/>
      </c>
      <c r="AB36" s="46">
        <f>AB35/$C$35*100</f>
        <v/>
      </c>
      <c r="AC36" s="46">
        <f>AC35/$C$35*100</f>
        <v/>
      </c>
      <c r="AD36" s="46">
        <f>AD35/$C$35*100</f>
        <v/>
      </c>
      <c r="AE36" s="46">
        <f>AE35/$C$35*100</f>
        <v/>
      </c>
      <c r="AF36" s="46">
        <f>AF35/$C$35*100</f>
        <v/>
      </c>
      <c r="AG36" s="46">
        <f>AG35/$C$35*100</f>
        <v/>
      </c>
      <c r="AH36" s="46">
        <f>AH35/$C$35*100</f>
        <v/>
      </c>
      <c r="AI36" s="46">
        <f>AI35/$C$35*100</f>
        <v/>
      </c>
      <c r="AJ36" s="46">
        <f>AJ35/$C$35*100</f>
        <v/>
      </c>
      <c r="AK36" s="46">
        <f>AK35/$C$35*100</f>
        <v/>
      </c>
      <c r="AL36" s="46">
        <f>AL35/$C$35*100</f>
        <v/>
      </c>
      <c r="AM36" s="46">
        <f>AM35/$C$35*100</f>
        <v/>
      </c>
      <c r="AN36" s="46">
        <f>AN35/$C$35*100</f>
        <v/>
      </c>
      <c r="AO36" s="46">
        <f>AO35/$C$35*100</f>
        <v/>
      </c>
      <c r="AP36" s="46">
        <f>AP35/$C$35*100</f>
        <v/>
      </c>
      <c r="AQ36" s="46">
        <f>AQ35/$C$35*100</f>
        <v/>
      </c>
      <c r="AR36" s="46">
        <f>AR35/$C$35*100</f>
        <v/>
      </c>
      <c r="AS36" s="46">
        <f>AS35/$C$35*100</f>
        <v/>
      </c>
      <c r="AT36" s="46">
        <f>AT35/$C$35*100</f>
        <v/>
      </c>
      <c r="AU36" s="46">
        <f>AU35/$C$35*100</f>
        <v/>
      </c>
      <c r="AV36" s="46">
        <f>AV35/$C$35*100</f>
        <v/>
      </c>
      <c r="AW36" s="49">
        <f>AW35/$C$35*100</f>
        <v/>
      </c>
      <c r="AX36" s="49">
        <f>AX35/$C$35*100</f>
        <v/>
      </c>
      <c r="AY36" s="49">
        <f>AY35/$C$35*100</f>
        <v/>
      </c>
    </row>
    <row r="37" customFormat="1" s="23">
      <c r="B37" s="24" t="n"/>
      <c r="C37" s="46" t="n"/>
      <c r="D37" s="28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</row>
    <row r="38" ht="19.8" customHeight="1">
      <c r="A38" s="1" t="inlineStr">
        <is>
          <t>建築費指数</t>
        </is>
      </c>
    </row>
    <row r="39">
      <c r="B39" s="2" t="inlineStr">
        <is>
          <t>事務所　S造</t>
        </is>
      </c>
      <c r="C39" s="2" t="n">
        <v>100</v>
      </c>
      <c r="D39" s="22" t="inlineStr">
        <is>
          <t>建築費指数</t>
        </is>
      </c>
      <c r="E39" t="n">
        <v>113.6</v>
      </c>
      <c r="F39" s="50" t="n">
        <v>113.7</v>
      </c>
      <c r="G39" s="50" t="n">
        <v>114.4</v>
      </c>
      <c r="H39" s="50" t="n">
        <v>115.5</v>
      </c>
      <c r="I39" s="50" t="n">
        <v>116.2</v>
      </c>
      <c r="J39" s="50" t="n">
        <v>118.3</v>
      </c>
      <c r="K39" s="50" t="n">
        <v>118.4</v>
      </c>
      <c r="L39" s="50" t="n">
        <v>120.3</v>
      </c>
      <c r="M39" s="50" t="n">
        <v>122.2</v>
      </c>
      <c r="N39" s="50" t="n">
        <v>122.8</v>
      </c>
      <c r="O39" s="50" t="n">
        <v>123.1</v>
      </c>
      <c r="P39" s="50" t="n">
        <v>124.1</v>
      </c>
      <c r="Q39" s="50" t="n">
        <v>124.3</v>
      </c>
      <c r="R39" s="50" t="n">
        <v>124.2</v>
      </c>
      <c r="S39" s="50" t="n">
        <v>124.4</v>
      </c>
      <c r="T39" s="50" t="n">
        <v>124.4</v>
      </c>
      <c r="U39" s="50" t="n">
        <v>124.5</v>
      </c>
      <c r="V39" s="50" t="n">
        <v>126.7</v>
      </c>
      <c r="W39" s="50" t="n">
        <v>126.6</v>
      </c>
      <c r="X39" s="50" t="n">
        <v>127</v>
      </c>
      <c r="Y39" s="50" t="n">
        <v>128.8</v>
      </c>
      <c r="Z39" s="50" t="n">
        <v>128.7</v>
      </c>
      <c r="AA39" s="50" t="n">
        <v>129.4</v>
      </c>
      <c r="AB39" s="50" t="n">
        <v>130.7</v>
      </c>
      <c r="AC39" s="50" t="n">
        <v>130.9</v>
      </c>
      <c r="AD39" s="50" t="n">
        <v>131</v>
      </c>
      <c r="AE39" s="50" t="n">
        <v>132</v>
      </c>
      <c r="AF39" s="50" t="n">
        <v>132.1</v>
      </c>
      <c r="AG39" s="50" t="n">
        <v>132.6</v>
      </c>
      <c r="AH39" s="50" t="n">
        <v>133.4</v>
      </c>
      <c r="AI39" s="50" t="n">
        <v>134.7</v>
      </c>
      <c r="AJ39" s="50" t="n">
        <v>134.8</v>
      </c>
      <c r="AK39" s="50" t="n">
        <v>135.7</v>
      </c>
      <c r="AL39" s="50" t="n">
        <v>135.3</v>
      </c>
      <c r="AM39" s="50" t="n">
        <v>135.2</v>
      </c>
      <c r="AN39" s="50" t="n">
        <v>136.9</v>
      </c>
      <c r="AO39" s="50" t="n">
        <v>137</v>
      </c>
      <c r="AP39" s="50" t="n">
        <v>137</v>
      </c>
      <c r="AQ39" s="50" t="n">
        <v>137.6</v>
      </c>
      <c r="AR39" s="50" t="n">
        <v>137.4</v>
      </c>
      <c r="AS39" s="50" t="n">
        <v>138</v>
      </c>
      <c r="AT39" s="50" t="n">
        <v>138.8</v>
      </c>
      <c r="AU39" s="50" t="n">
        <v>138.7</v>
      </c>
      <c r="AV39" s="50" t="n">
        <v>138.9</v>
      </c>
      <c r="AW39" s="51" t="n">
        <v>139.5</v>
      </c>
      <c r="AX39" s="33" t="n">
        <v>139.5</v>
      </c>
      <c r="AY39" s="33" t="n">
        <v>139.7</v>
      </c>
      <c r="AZ39" s="2" t="n">
        <v>140.7</v>
      </c>
    </row>
    <row r="41" ht="19.8" customHeight="1">
      <c r="A41" s="1" t="inlineStr">
        <is>
          <t>デフレーター</t>
        </is>
      </c>
    </row>
    <row r="42">
      <c r="B42" s="2" t="inlineStr">
        <is>
          <t>S事務所・その他</t>
        </is>
      </c>
      <c r="C42" s="26" t="n">
        <v>100</v>
      </c>
      <c r="D42" s="22" t="inlineStr">
        <is>
          <t>デフレーター</t>
        </is>
      </c>
      <c r="E42" t="n">
        <v>115.2</v>
      </c>
      <c r="F42" s="52" t="n">
        <v>115.6</v>
      </c>
      <c r="G42" s="52" t="n">
        <v>116.4</v>
      </c>
      <c r="H42" s="52" t="n">
        <v>117.5</v>
      </c>
      <c r="I42" s="52" t="n">
        <v>116.9</v>
      </c>
      <c r="J42" s="52" t="n">
        <v>119.5</v>
      </c>
      <c r="K42" s="52" t="n">
        <v>117.6</v>
      </c>
      <c r="L42" s="52" t="n">
        <v>118.9</v>
      </c>
      <c r="M42" s="52" t="n">
        <v>118.2</v>
      </c>
      <c r="N42" s="52" t="n">
        <v>120.1</v>
      </c>
      <c r="O42" s="52" t="n">
        <v>122</v>
      </c>
      <c r="P42" s="52" t="n">
        <v>121.2</v>
      </c>
      <c r="Q42" s="52" t="n">
        <v>121.1</v>
      </c>
      <c r="R42" s="52" t="n">
        <v>121.2</v>
      </c>
      <c r="S42" s="52" t="n">
        <v>122.2</v>
      </c>
      <c r="T42" s="52" t="n">
        <v>122.3</v>
      </c>
      <c r="U42" s="52" t="n">
        <v>122.1</v>
      </c>
      <c r="V42" s="52" t="n">
        <v>122.9</v>
      </c>
      <c r="W42" s="52" t="n">
        <v>123.3</v>
      </c>
      <c r="X42" s="52" t="n">
        <v>124</v>
      </c>
      <c r="Y42" s="52" t="n">
        <v>123.7</v>
      </c>
      <c r="Z42" s="52" t="n">
        <v>124.3</v>
      </c>
      <c r="AA42" s="52" t="n">
        <v>124.5</v>
      </c>
      <c r="AB42" s="52" t="n">
        <v>124.4</v>
      </c>
      <c r="AC42" s="52" t="n">
        <v>124.5</v>
      </c>
      <c r="AD42" s="52" t="n">
        <v>124.9</v>
      </c>
      <c r="AE42" s="52" t="n">
        <v>126.2</v>
      </c>
      <c r="AF42" s="52" t="n">
        <v>127.2</v>
      </c>
      <c r="AG42" s="52" t="n">
        <v>128.9</v>
      </c>
      <c r="AH42" s="52" t="n">
        <v>128.6</v>
      </c>
      <c r="AI42" s="52" t="n">
        <v>130.2</v>
      </c>
      <c r="AJ42" s="52" t="n">
        <v>128.8</v>
      </c>
      <c r="AK42" s="52" t="n">
        <v>129</v>
      </c>
      <c r="AL42" s="52" t="n">
        <v>129</v>
      </c>
      <c r="AM42" s="52" t="n">
        <v>130.8</v>
      </c>
      <c r="AN42" s="52" t="n">
        <v>131.6</v>
      </c>
      <c r="AO42" s="52" t="n">
        <v>129.8</v>
      </c>
      <c r="AP42" s="52" t="n">
        <v>131.4</v>
      </c>
      <c r="AQ42" s="52" t="n">
        <v>129.8</v>
      </c>
      <c r="AR42" s="52" t="n">
        <v>131.7</v>
      </c>
      <c r="AS42" t="n">
        <v>133.6</v>
      </c>
      <c r="AT42" t="n">
        <v>139</v>
      </c>
      <c r="AU42" s="33" t="n">
        <v>133.6</v>
      </c>
      <c r="AV42" s="33" t="n">
        <v>137.8</v>
      </c>
      <c r="AW42" s="33" t="n">
        <v>132.4</v>
      </c>
      <c r="AX42" s="33" t="n">
        <v>132.7</v>
      </c>
      <c r="AY42" s="53" t="n">
        <v>132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3" zoomScale="40" zoomScaleNormal="40" workbookViewId="0">
      <selection activeCell="X22" sqref="X22"/>
    </sheetView>
  </sheetViews>
  <sheetFormatPr baseColWidth="8" defaultRowHeight="18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渋谷 宣隆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2026-02-22T08:03:02Z</dcterms:modified>
  <cp:lastModifiedBy>松尾 一輝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0x010100C2C66093AC49314CAA1C456C0FF51723</vt:lpwstr>
  </property>
  <property name="MediaServiceImageTags" fmtid="{D5CDD505-2E9C-101B-9397-08002B2CF9AE}" pid="3">
    <vt:lpwstr xmlns:vt="http://schemas.openxmlformats.org/officeDocument/2006/docPropsVTypes"/>
  </property>
</Properties>
</file>